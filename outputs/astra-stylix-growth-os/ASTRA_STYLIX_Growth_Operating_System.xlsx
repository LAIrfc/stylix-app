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8995bb3af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Checklist" sheetId="1" r:id="Ra00143b80ad24765"/>
    <x:sheet xmlns:r="http://schemas.openxmlformats.org/officeDocument/2006/relationships" name="Weekly Checklist" sheetId="2" r:id="Rb8e1e6b916b14a45"/>
    <x:sheet xmlns:r="http://schemas.openxmlformats.org/officeDocument/2006/relationships" name="Monthly Checklist" sheetId="3" r:id="R3fd2f40bfefb43d4"/>
    <x:sheet xmlns:r="http://schemas.openxmlformats.org/officeDocument/2006/relationships" name="Calendar Events" sheetId="4" r:id="R04007844cbfb47e4"/>
    <x:sheet xmlns:r="http://schemas.openxmlformats.org/officeDocument/2006/relationships" name="Notion Dashboard" sheetId="5" r:id="R376e47cfcc274e1a"/>
    <x:sheet xmlns:r="http://schemas.openxmlformats.org/officeDocument/2006/relationships" name="Daily Tracker" sheetId="6" r:id="R6f28812b4de949ab"/>
    <x:sheet xmlns:r="http://schemas.openxmlformats.org/officeDocument/2006/relationships" name="Weekly Summary" sheetId="7" r:id="R12ba990f97cf48b2"/>
    <x:sheet xmlns:r="http://schemas.openxmlformats.org/officeDocument/2006/relationships" name="Monthly Summary" sheetId="8" r:id="Rd6d6ce4a95c84b81"/>
    <x:sheet xmlns:r="http://schemas.openxmlformats.org/officeDocument/2006/relationships" name="KPI Dashboard" sheetId="9" r:id="Re851023d9908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8"/>
      <x:color rgb="FFFFFFFF"/>
      <x:name val="Aptos"/>
    </x:font>
    <x:font>
      <x:i/>
      <x:sz val="11"/>
      <x:color rgb="FF1F2937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b/>
      <x:sz val="10"/>
      <x:color rgb="FFFFFFFF"/>
      <x:name val="Aptos"/>
    </x:font>
    <x:font>
      <x:i/>
      <x:sz val="10"/>
      <x:color rgb="FF1F2937"/>
      <x:name val="Aptos"/>
    </x:font>
    <x:font>
      <x:sz val="10"/>
      <x:name val="Aptos"/>
    </x:font>
    <x:font>
      <x:sz val="10"/>
      <x:color rgb="FF1F2937"/>
      <x:name val="Aptos"/>
    </x:font>
    <x:font>
      <x:b/>
      <x:sz val="11"/>
      <x:color rgb="FF1F2937"/>
      <x:name val="Aptos"/>
    </x:font>
    <x:font>
      <x:b/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5EF"/>
      </x:patternFill>
    </x:fill>
    <x:fill>
      <x:patternFill patternType="solid">
        <x:fgColor rgb="FF2F6F73"/>
      </x:patternFill>
    </x:fill>
    <x:fill>
      <x:patternFill patternType="solid">
        <x:fgColor rgb="FFFFFFFF"/>
      </x:patternFill>
    </x:fill>
    <x:fill>
      <x:patternFill patternType="solid">
        <x:fgColor rgb="FFD8B56D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vertical="top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 applyAlignment="1">
      <x:alignment vertical="top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 wrapText="1"/>
    </x:xf>
    <x:xf numFmtId="0" fontId="14" fillId="0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vertical="top" wrapText="1"/>
    </x:xf>
    <x:xf numFmtId="0" fontId="16" fillId="6" borderId="0" xfId="0" applyNumberFormat="1" applyFont="1" applyFill="1" applyBorder="1"/>
    <x:xf numFmtId="0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7c0c5a9424976" /><Relationship Type="http://schemas.openxmlformats.org/officeDocument/2006/relationships/theme" Target="/xl/theme/theme1.xml" Id="R1d1c332773b14702" /><Relationship Type="http://schemas.openxmlformats.org/officeDocument/2006/relationships/sharedStrings" Target="/xl/sharedStrings.xml" Id="Rda5655983e0f4515" /><Relationship Type="http://schemas.openxmlformats.org/officeDocument/2006/relationships/worksheet" Target="/xl/worksheets/sheet1.xml" Id="Ra00143b80ad24765" /><Relationship Type="http://schemas.openxmlformats.org/officeDocument/2006/relationships/worksheet" Target="/xl/worksheets/sheet2.xml" Id="Rb8e1e6b916b14a45" /><Relationship Type="http://schemas.openxmlformats.org/officeDocument/2006/relationships/worksheet" Target="/xl/worksheets/sheet3.xml" Id="R3fd2f40bfefb43d4" /><Relationship Type="http://schemas.openxmlformats.org/officeDocument/2006/relationships/worksheet" Target="/xl/worksheets/sheet4.xml" Id="R04007844cbfb47e4" /><Relationship Type="http://schemas.openxmlformats.org/officeDocument/2006/relationships/worksheet" Target="/xl/worksheets/sheet5.xml" Id="R376e47cfcc274e1a" /><Relationship Type="http://schemas.openxmlformats.org/officeDocument/2006/relationships/worksheet" Target="/xl/worksheets/sheet6.xml" Id="R6f28812b4de949ab" /><Relationship Type="http://schemas.openxmlformats.org/officeDocument/2006/relationships/worksheet" Target="/xl/worksheets/sheet7.xml" Id="R12ba990f97cf48b2" /><Relationship Type="http://schemas.openxmlformats.org/officeDocument/2006/relationships/worksheet" Target="/xl/worksheets/sheet8.xml" Id="Rd6d6ce4a95c84b81" /><Relationship Type="http://schemas.openxmlformats.org/officeDocument/2006/relationships/worksheet" Target="/xl/worksheets/sheet9.xml" Id="Re851023d99084c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6c7c1526b149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Reach, Reel Views, Intent, and Orders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Reach</c:v>
          </c:tx>
          <c:cat>
            <c:strRef>
              <c:f>'KPI Dashboard'!$F$6:$F$36</c:f>
              <c:strCache>
                <c:ptCount val="0"/>
              </c:strCache>
            </c:strRef>
          </c:cat>
          <c:val>
            <c:numRef>
              <c:f>'KPI Dashboard'!$G$6:$G$36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Reel Views</c:v>
          </c:tx>
          <c:cat>
            <c:strRef>
              <c:f>'KPI Dashboard'!$F$6:$F$36</c:f>
              <c:strCache>
                <c:ptCount val="0"/>
              </c:strCache>
            </c:strRef>
          </c:cat>
          <c:val>
            <c:numRef>
              <c:f>'KPI Dashboard'!$H$6:$H$36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Saves</c:v>
          </c:tx>
          <c:cat>
            <c:strRef>
              <c:f>'KPI Dashboard'!$F$6:$F$36</c:f>
              <c:strCache>
                <c:ptCount val="0"/>
              </c:strCache>
            </c:strRef>
          </c:cat>
          <c:val>
            <c:numRef>
              <c:f>'KPI Dashboard'!$I$6:$I$36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Profile Visits</c:v>
          </c:tx>
          <c:cat>
            <c:strRef>
              <c:f>'KPI Dashboard'!$F$6:$F$36</c:f>
              <c:strCache>
                <c:ptCount val="0"/>
              </c:strCache>
            </c:strRef>
          </c:cat>
          <c:val>
            <c:numRef>
              <c:f>'KPI Dashboard'!$J$6:$J$36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Website Clicks</c:v>
          </c:tx>
          <c:cat>
            <c:strRef>
              <c:f>'KPI Dashboard'!$F$6:$F$36</c:f>
              <c:strCache>
                <c:ptCount val="0"/>
              </c:strCache>
            </c:strRef>
          </c:cat>
          <c:val>
            <c:numRef>
              <c:f>'KPI Dashboard'!$K$6:$K$36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Orders</c:v>
          </c:tx>
          <c:cat>
            <c:strRef>
              <c:f>'KPI Dashboard'!$F$6:$F$36</c:f>
              <c:strCache>
                <c:ptCount val="0"/>
              </c:strCache>
            </c:strRef>
          </c:cat>
          <c:val>
            <c:numRef>
              <c:f>'KPI Dashboard'!$L$6:$L$36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6c7c1526b149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45acd185bebe464b" /></Relationships>
</file>

<file path=xl/worksheets/sheet1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14.4399995803833" hidden="0" customWidth="1"/>
    <x:col min="3" max="3" width="24.440000534057617" hidden="0" customWidth="1"/>
    <x:col min="4" max="4" width="15" hidden="0" customWidth="1"/>
    <x:col min="5" max="5" width="40" hidden="0" customWidth="1"/>
    <x:col min="6" max="6" width="15.5600004196167" hidden="0" customWidth="1"/>
    <x:col min="7" max="7" width="13.329999923706055" hidden="0" customWidth="1"/>
    <x:col min="8" max="8" width="28.889999389648438" hidden="0" customWidth="1"/>
  </x:cols>
  <x:sheetData>
    <x:row r="1">
      <x:c r="A1" s="33" t="str">
        <x:v>ASTRA STYLIX Daily Growth Checklist</x:v>
      </x:c>
      <x:c r="B1" s="33" t="str">
        <x:v>ASTRA STYLIX Daily Growth Checklist</x:v>
      </x:c>
      <x:c r="C1" s="33" t="str">
        <x:v>ASTRA STYLIX Daily Growth Checklist</x:v>
      </x:c>
      <x:c r="D1" s="33" t="str">
        <x:v>ASTRA STYLIX Daily Growth Checklist</x:v>
      </x:c>
      <x:c r="E1" s="33" t="str">
        <x:v>ASTRA STYLIX Daily Growth Checklist</x:v>
      </x:c>
      <x:c r="F1" s="33" t="str">
        <x:v>ASTRA STYLIX Daily Growth Checklist</x:v>
      </x:c>
      <x:c r="G1" s="33" t="str">
        <x:v>ASTRA STYLIX Daily Growth Checklist</x:v>
      </x:c>
      <x:c r="H1" s="33" t="str">
        <x:v>ASTRA STYLIX Daily Growth Checklist</x:v>
      </x:c>
    </x:row>
    <x:row r="2">
      <x:c r="A2" s="34" t="str">
        <x:v>Daily operating rhythm for Instagram-led luxury jewelry growth, Beijing Time</x:v>
      </x:c>
      <x:c r="B2" s="35"/>
      <x:c r="C2" s="35"/>
      <x:c r="D2" s="35"/>
      <x:c r="E2" s="35"/>
      <x:c r="F2" s="35"/>
      <x:c r="G2" s="35"/>
      <x:c r="H2" s="35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1" t="str">
        <x:v>Time</x:v>
      </x:c>
      <x:c r="B4" s="31" t="str">
        <x:v>Channel</x:v>
      </x:c>
      <x:c r="C4" s="31" t="str">
        <x:v>Task</x:v>
      </x:c>
      <x:c r="D4" s="31" t="str">
        <x:v>Volume Target</x:v>
      </x:c>
      <x:c r="E4" s="31" t="str">
        <x:v>Quality Standard</x:v>
      </x:c>
      <x:c r="F4" s="31" t="str">
        <x:v>Owner</x:v>
      </x:c>
      <x:c r="G4" s="31" t="str">
        <x:v>Status</x:v>
      </x:c>
      <x:c r="H4" s="31" t="str">
        <x:v>Notes</x:v>
      </x:c>
    </x:row>
    <x:row r="5">
      <x:c r="A5" s="36" t="str">
        <x:v>08:00</x:v>
      </x:c>
      <x:c r="B5" s="36" t="str">
        <x:v>Instagram</x:v>
      </x:c>
      <x:c r="C5" s="36" t="str">
        <x:v>Check notifications</x:v>
      </x:c>
      <x:c r="D5" s="36" t="str">
        <x:v>All new notifications</x:v>
      </x:c>
      <x:c r="E5" s="36" t="str">
        <x:v>Prioritize comments, mentions, tags, collab requests</x:v>
      </x:c>
      <x:c r="F5" s="36" t="str">
        <x:v>Growth Manager</x:v>
      </x:c>
      <x:c r="G5" s="36" t="str">
        <x:v>Not Started</x:v>
      </x:c>
      <x:c r="H5" s="36" t="str"/>
    </x:row>
    <x:row r="6">
      <x:c r="A6" s="36" t="str">
        <x:v>08:10</x:v>
      </x:c>
      <x:c r="B6" s="36" t="str">
        <x:v>Instagram</x:v>
      </x:c>
      <x:c r="C6" s="36" t="str">
        <x:v>Reply to comments</x:v>
      </x:c>
      <x:c r="D6" s="36" t="str">
        <x:v>100% within 24h</x:v>
      </x:c>
      <x:c r="E6" s="36" t="str">
        <x:v>Warm, specific, brand-aligned, no generic replies</x:v>
      </x:c>
      <x:c r="F6" s="36" t="str">
        <x:v>Growth Manager</x:v>
      </x:c>
      <x:c r="G6" s="36" t="str">
        <x:v>Not Started</x:v>
      </x:c>
      <x:c r="H6" s="36" t="str"/>
    </x:row>
    <x:row r="7">
      <x:c r="A7" s="36" t="str">
        <x:v>08:25</x:v>
      </x:c>
      <x:c r="B7" s="36" t="str">
        <x:v>Instagram</x:v>
      </x:c>
      <x:c r="C7" s="36" t="str">
        <x:v>Reply to DMs</x:v>
      </x:c>
      <x:c r="D7" s="36" t="str">
        <x:v>100% qualified DMs</x:v>
      </x:c>
      <x:c r="E7" s="36" t="str">
        <x:v>Move buying questions toward website, appointment, or concierge flow</x:v>
      </x:c>
      <x:c r="F7" s="36" t="str">
        <x:v>Growth Manager</x:v>
      </x:c>
      <x:c r="G7" s="36" t="str">
        <x:v>Not Started</x:v>
      </x:c>
      <x:c r="H7" s="36" t="str"/>
    </x:row>
    <x:row r="8">
      <x:c r="A8" s="36" t="str">
        <x:v>08:45</x:v>
      </x:c>
      <x:c r="B8" s="36" t="str">
        <x:v>Instagram</x:v>
      </x:c>
      <x:c r="C8" s="36" t="str">
        <x:v>Like posts from jewelry and fashion accounts</x:v>
      </x:c>
      <x:c r="D8" s="36" t="str">
        <x:v>50 likes</x:v>
      </x:c>
      <x:c r="E8" s="36" t="str">
        <x:v>Prioritize aspirational customers, stylists, editors, creators, bridal, luxury fashion</x:v>
      </x:c>
      <x:c r="F8" s="36" t="str">
        <x:v>Growth Manager</x:v>
      </x:c>
      <x:c r="G8" s="36" t="str">
        <x:v>Not Started</x:v>
      </x:c>
      <x:c r="H8" s="36" t="str"/>
    </x:row>
    <x:row r="9">
      <x:c r="A9" s="36" t="str">
        <x:v>09:15</x:v>
      </x:c>
      <x:c r="B9" s="36" t="str">
        <x:v>Instagram</x:v>
      </x:c>
      <x:c r="C9" s="36" t="str">
        <x:v>Leave meaningful comments</x:v>
      </x:c>
      <x:c r="D9" s="36" t="str">
        <x:v>20 comments</x:v>
      </x:c>
      <x:c r="E9" s="36" t="str">
        <x:v>Specific, human, tasteful; avoid sales language</x:v>
      </x:c>
      <x:c r="F9" s="36" t="str">
        <x:v>Growth Manager</x:v>
      </x:c>
      <x:c r="G9" s="36" t="str">
        <x:v>Not Started</x:v>
      </x:c>
      <x:c r="H9" s="36" t="str"/>
    </x:row>
    <x:row r="10">
      <x:c r="A10" s="36" t="str">
        <x:v>19:00</x:v>
      </x:c>
      <x:c r="B10" s="36" t="str">
        <x:v>Instagram Reels</x:v>
      </x:c>
      <x:c r="C10" s="36" t="str">
        <x:v>Publish first Reel</x:v>
      </x:c>
      <x:c r="D10" s="36" t="str">
        <x:v>1 Reel</x:v>
      </x:c>
      <x:c r="E10" s="36" t="str">
        <x:v>Luxury hook in first 2 seconds; product, craft, styling, or founder angle</x:v>
      </x:c>
      <x:c r="F10" s="36" t="str">
        <x:v>Growth Manager</x:v>
      </x:c>
      <x:c r="G10" s="36" t="str">
        <x:v>Not Started</x:v>
      </x:c>
      <x:c r="H10" s="36" t="str"/>
    </x:row>
    <x:row r="11">
      <x:c r="A11" s="36" t="str">
        <x:v>19:05</x:v>
      </x:c>
      <x:c r="B11" s="36" t="str">
        <x:v>Instagram</x:v>
      </x:c>
      <x:c r="C11" s="36" t="str">
        <x:v>Engage with audience</x:v>
      </x:c>
      <x:c r="D11" s="36" t="str">
        <x:v>30 minutes</x:v>
      </x:c>
      <x:c r="E11" s="36" t="str">
        <x:v>Reply fast, pin best comment, answer buying questions, follow warm leads</x:v>
      </x:c>
      <x:c r="F11" s="36" t="str">
        <x:v>Growth Manager</x:v>
      </x:c>
      <x:c r="G11" s="36" t="str">
        <x:v>Not Started</x:v>
      </x:c>
      <x:c r="H11" s="36" t="str"/>
    </x:row>
    <x:row r="12">
      <x:c r="A12" s="36" t="str">
        <x:v>20:00</x:v>
      </x:c>
      <x:c r="B12" s="36" t="str">
        <x:v>Instagram Stories</x:v>
      </x:c>
      <x:c r="C12" s="36" t="str">
        <x:v>Publish Story</x:v>
      </x:c>
      <x:c r="D12" s="36" t="str">
        <x:v>1 Story set</x:v>
      </x:c>
      <x:c r="E12" s="36" t="str">
        <x:v>Use poll, question, link, countdown, behind-the-scenes, or social proof</x:v>
      </x:c>
      <x:c r="F12" s="36" t="str">
        <x:v>Growth Manager</x:v>
      </x:c>
      <x:c r="G12" s="36" t="str">
        <x:v>Not Started</x:v>
      </x:c>
      <x:c r="H12" s="36" t="str"/>
    </x:row>
    <x:row r="13">
      <x:c r="A13" s="36" t="str">
        <x:v>21:00</x:v>
      </x:c>
      <x:c r="B13" s="36" t="str">
        <x:v>Instagram Reels</x:v>
      </x:c>
      <x:c r="C13" s="36" t="str">
        <x:v>Publish second Reel</x:v>
      </x:c>
      <x:c r="D13" s="36" t="str">
        <x:v>1 Reel</x:v>
      </x:c>
      <x:c r="E13" s="36" t="str">
        <x:v>Different angle from first Reel; test hook, format, or audience segment</x:v>
      </x:c>
      <x:c r="F13" s="36" t="str">
        <x:v>Growth Manager</x:v>
      </x:c>
      <x:c r="G13" s="36" t="str">
        <x:v>Not Started</x:v>
      </x:c>
      <x:c r="H13" s="36" t="str"/>
    </x:row>
    <x:row r="14">
      <x:c r="A14" s="36" t="str">
        <x:v>21:15</x:v>
      </x:c>
      <x:c r="B14" s="36" t="str">
        <x:v>Instagram</x:v>
      </x:c>
      <x:c r="C14" s="36" t="str">
        <x:v>Like more posts</x:v>
      </x:c>
      <x:c r="D14" s="36" t="str">
        <x:v>50 likes</x:v>
      </x:c>
      <x:c r="E14" s="36" t="str">
        <x:v>Engage accounts that match ICP and recent commenters/viewers</x:v>
      </x:c>
      <x:c r="F14" s="36" t="str">
        <x:v>Growth Manager</x:v>
      </x:c>
      <x:c r="G14" s="36" t="str">
        <x:v>Not Started</x:v>
      </x:c>
      <x:c r="H14" s="36" t="str"/>
    </x:row>
    <x:row r="15">
      <x:c r="A15" s="36" t="str">
        <x:v>21:40</x:v>
      </x:c>
      <x:c r="B15" s="36" t="str">
        <x:v>Instagram</x:v>
      </x:c>
      <x:c r="C15" s="36" t="str">
        <x:v>Leave more meaningful comments</x:v>
      </x:c>
      <x:c r="D15" s="36" t="str">
        <x:v>20 comments</x:v>
      </x:c>
      <x:c r="E15" s="36" t="str">
        <x:v>Reference the actual post; never spam; keep the brand voice refined</x:v>
      </x:c>
      <x:c r="F15" s="36" t="str">
        <x:v>Growth Manager</x:v>
      </x:c>
      <x:c r="G15" s="36" t="str">
        <x:v>Not Started</x:v>
      </x:c>
      <x:c r="H15" s="36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.4399995803833" hidden="0" customWidth="1"/>
    <x:col min="3" max="3" width="28.889999389648438" hidden="0" customWidth="1"/>
    <x:col min="4" max="4" width="31.110000610351562" hidden="0" customWidth="1"/>
    <x:col min="5" max="5" width="21.110000610351562" hidden="0" customWidth="1"/>
    <x:col min="6" max="6" width="14.4399995803833" hidden="0" customWidth="1"/>
    <x:col min="7" max="7" width="13.329999923706055" hidden="0" customWidth="1"/>
    <x:col min="8" max="8" width="26.670000076293945" hidden="0" customWidth="1"/>
  </x:cols>
  <x:sheetData>
    <x:row r="1">
      <x:c r="A1" s="33" t="str">
        <x:v>ASTRA STYLIX Weekly Growth Checklist</x:v>
      </x:c>
      <x:c r="B1" s="33" t="str">
        <x:v>ASTRA STYLIX Weekly Growth Checklist</x:v>
      </x:c>
      <x:c r="C1" s="33" t="str">
        <x:v>ASTRA STYLIX Weekly Growth Checklist</x:v>
      </x:c>
      <x:c r="D1" s="33" t="str">
        <x:v>ASTRA STYLIX Weekly Growth Checklist</x:v>
      </x:c>
      <x:c r="E1" s="33" t="str">
        <x:v>ASTRA STYLIX Weekly Growth Checklist</x:v>
      </x:c>
      <x:c r="F1" s="33" t="str">
        <x:v>ASTRA STYLIX Weekly Growth Checklist</x:v>
      </x:c>
      <x:c r="G1" s="33" t="str">
        <x:v>ASTRA STYLIX Weekly Growth Checklist</x:v>
      </x:c>
      <x:c r="H1" s="33" t="str">
        <x:v>ASTRA STYLIX Weekly Growth Checklist</x:v>
      </x:c>
    </x:row>
    <x:row r="2">
      <x:c r="A2" s="34" t="str">
        <x:v>Cadence for creative testing, audience learning, conversion review, and luxury brand discipline</x:v>
      </x:c>
      <x:c r="B2" s="35"/>
      <x:c r="C2" s="35"/>
      <x:c r="D2" s="35"/>
      <x:c r="E2" s="35"/>
      <x:c r="F2" s="35"/>
      <x:c r="G2" s="35"/>
      <x:c r="H2" s="35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1" t="str">
        <x:v>Day</x:v>
      </x:c>
      <x:c r="B4" s="31" t="str">
        <x:v>Focus</x:v>
      </x:c>
      <x:c r="C4" s="31" t="str">
        <x:v>Checklist Item</x:v>
      </x:c>
      <x:c r="D4" s="31" t="str">
        <x:v>Target</x:v>
      </x:c>
      <x:c r="E4" s="31" t="str">
        <x:v>Output</x:v>
      </x:c>
      <x:c r="F4" s="31" t="str">
        <x:v>Owner</x:v>
      </x:c>
      <x:c r="G4" s="31" t="str">
        <x:v>Status</x:v>
      </x:c>
      <x:c r="H4" s="31" t="str">
        <x:v>Notes</x:v>
      </x:c>
    </x:row>
    <x:row r="5">
      <x:c r="A5" s="36" t="str">
        <x:v>Monday</x:v>
      </x:c>
      <x:c r="B5" s="36" t="str">
        <x:v>Planning</x:v>
      </x:c>
      <x:c r="C5" s="36" t="str">
        <x:v>Review prior week KPIs</x:v>
      </x:c>
      <x:c r="D5" s="36" t="str">
        <x:v>Followers, reach, Reel views, saves, visits, clicks, orders</x:v>
      </x:c>
      <x:c r="E5" s="36" t="str">
        <x:v>Weekly scorecard updated</x:v>
      </x:c>
      <x:c r="F5" s="36" t="str">
        <x:v>Growth Manager</x:v>
      </x:c>
      <x:c r="G5" s="36" t="str">
        <x:v>Not Started</x:v>
      </x:c>
      <x:c r="H5" s="36" t="str"/>
    </x:row>
    <x:row r="6">
      <x:c r="A6" s="36" t="str">
        <x:v>Monday</x:v>
      </x:c>
      <x:c r="B6" s="36" t="str">
        <x:v>Planning</x:v>
      </x:c>
      <x:c r="C6" s="36" t="str">
        <x:v>Choose 3 creative hypotheses</x:v>
      </x:c>
      <x:c r="D6" s="36" t="str">
        <x:v>Hooks, product angles, styling moments, audience segments</x:v>
      </x:c>
      <x:c r="E6" s="36" t="str">
        <x:v>Experiment plan</x:v>
      </x:c>
      <x:c r="F6" s="36" t="str">
        <x:v>Growth Manager</x:v>
      </x:c>
      <x:c r="G6" s="36" t="str">
        <x:v>Not Started</x:v>
      </x:c>
      <x:c r="H6" s="36" t="str"/>
    </x:row>
    <x:row r="7">
      <x:c r="A7" s="36" t="str">
        <x:v>Tuesday</x:v>
      </x:c>
      <x:c r="B7" s="36" t="str">
        <x:v>Creative</x:v>
      </x:c>
      <x:c r="C7" s="36" t="str">
        <x:v>Batch script and shot list</x:v>
      </x:c>
      <x:c r="D7" s="36" t="str">
        <x:v>14 Reels + 7 Stories</x:v>
      </x:c>
      <x:c r="E7" s="36" t="str">
        <x:v>Content pipeline</x:v>
      </x:c>
      <x:c r="F7" s="36" t="str">
        <x:v>Creative Lead</x:v>
      </x:c>
      <x:c r="G7" s="36" t="str">
        <x:v>Not Started</x:v>
      </x:c>
      <x:c r="H7" s="36" t="str"/>
    </x:row>
    <x:row r="8">
      <x:c r="A8" s="36" t="str">
        <x:v>Wednesday</x:v>
      </x:c>
      <x:c r="B8" s="36" t="str">
        <x:v>Community</x:v>
      </x:c>
      <x:c r="C8" s="36" t="str">
        <x:v>Identify high-value accounts</x:v>
      </x:c>
      <x:c r="D8" s="36" t="str">
        <x:v>50 stylists/editors/creators/customers</x:v>
      </x:c>
      <x:c r="E8" s="36" t="str">
        <x:v>Prospect engagement list</x:v>
      </x:c>
      <x:c r="F8" s="36" t="str">
        <x:v>Growth Manager</x:v>
      </x:c>
      <x:c r="G8" s="36" t="str">
        <x:v>Not Started</x:v>
      </x:c>
      <x:c r="H8" s="36" t="str"/>
    </x:row>
    <x:row r="9">
      <x:c r="A9" s="36" t="str">
        <x:v>Thursday</x:v>
      </x:c>
      <x:c r="B9" s="36" t="str">
        <x:v>Optimization</x:v>
      </x:c>
      <x:c r="C9" s="36" t="str">
        <x:v>Audit top and bottom Reels</x:v>
      </x:c>
      <x:c r="D9" s="36" t="str">
        <x:v>Top 3 / bottom 3 by views, saves, profile visits</x:v>
      </x:c>
      <x:c r="E9" s="36" t="str">
        <x:v>Learning notes</x:v>
      </x:c>
      <x:c r="F9" s="36" t="str">
        <x:v>Growth Manager</x:v>
      </x:c>
      <x:c r="G9" s="36" t="str">
        <x:v>Not Started</x:v>
      </x:c>
      <x:c r="H9" s="36" t="str"/>
    </x:row>
    <x:row r="10">
      <x:c r="A10" s="36" t="str">
        <x:v>Friday</x:v>
      </x:c>
      <x:c r="B10" s="36" t="str">
        <x:v>Conversion</x:v>
      </x:c>
      <x:c r="C10" s="36" t="str">
        <x:v>Review website-click and order path</x:v>
      </x:c>
      <x:c r="D10" s="36" t="str">
        <x:v>DMs, profile links, product pages, checkout friction</x:v>
      </x:c>
      <x:c r="E10" s="36" t="str">
        <x:v>Conversion fixes</x:v>
      </x:c>
      <x:c r="F10" s="36" t="str">
        <x:v>Growth Manager</x:v>
      </x:c>
      <x:c r="G10" s="36" t="str">
        <x:v>Not Started</x:v>
      </x:c>
      <x:c r="H10" s="36" t="str"/>
    </x:row>
    <x:row r="11">
      <x:c r="A11" s="36" t="str">
        <x:v>Friday</x:v>
      </x:c>
      <x:c r="B11" s="36" t="str">
        <x:v>Luxury Brand</x:v>
      </x:c>
      <x:c r="C11" s="36" t="str">
        <x:v>Check visual grid quality</x:v>
      </x:c>
      <x:c r="D11" s="36" t="str">
        <x:v>Color, crops, product clarity, captions, tone</x:v>
      </x:c>
      <x:c r="E11" s="36" t="str">
        <x:v>Grid quality pass</x:v>
      </x:c>
      <x:c r="F11" s="36" t="str">
        <x:v>Creative Lead</x:v>
      </x:c>
      <x:c r="G11" s="36" t="str">
        <x:v>Not Started</x:v>
      </x:c>
      <x:c r="H11" s="36" t="str"/>
    </x:row>
    <x:row r="12">
      <x:c r="A12" s="36" t="str">
        <x:v>Saturday</x:v>
      </x:c>
      <x:c r="B12" s="36" t="str">
        <x:v>Influence</x:v>
      </x:c>
      <x:c r="C12" s="36" t="str">
        <x:v>Outreach to creators/stylists</x:v>
      </x:c>
      <x:c r="D12" s="36" t="str">
        <x:v>10 personalized messages</x:v>
      </x:c>
      <x:c r="E12" s="36" t="str">
        <x:v>Collab pipeline</x:v>
      </x:c>
      <x:c r="F12" s="36" t="str">
        <x:v>Growth Manager</x:v>
      </x:c>
      <x:c r="G12" s="36" t="str">
        <x:v>Not Started</x:v>
      </x:c>
      <x:c r="H12" s="36" t="str"/>
    </x:row>
    <x:row r="13">
      <x:c r="A13" s="36" t="str">
        <x:v>Sunday</x:v>
      </x:c>
      <x:c r="B13" s="36" t="str">
        <x:v>Reflection</x:v>
      </x:c>
      <x:c r="C13" s="36" t="str">
        <x:v>Archive best comments/DMs as voice-of-customer</x:v>
      </x:c>
      <x:c r="D13" s="36" t="str">
        <x:v>10 insights</x:v>
      </x:c>
      <x:c r="E13" s="36" t="str">
        <x:v>VOC library</x:v>
      </x:c>
      <x:c r="F13" s="36" t="str">
        <x:v>Growth Manager</x:v>
      </x:c>
      <x:c r="G13" s="36" t="str">
        <x:v>Not Started</x:v>
      </x:c>
      <x:c r="H13" s="36" t="str"/>
    </x:row>
    <x:row r="14">
      <x:c r="A14" s="36" t="str">
        <x:v>Sunday</x:v>
      </x:c>
      <x:c r="B14" s="36" t="str">
        <x:v>Scheduling</x:v>
      </x:c>
      <x:c r="C14" s="36" t="str">
        <x:v>Schedule next week assets</x:v>
      </x:c>
      <x:c r="D14" s="36" t="str">
        <x:v>14 Reels + daily Stories</x:v>
      </x:c>
      <x:c r="E14" s="36" t="str">
        <x:v>Publishing queue</x:v>
      </x:c>
      <x:c r="F14" s="36" t="str">
        <x:v>Growth Manager</x:v>
      </x:c>
      <x:c r="G14" s="36" t="str">
        <x:v>Not Started</x:v>
      </x:c>
      <x:c r="H14" s="36" t="str"/>
    </x:row>
    <x:row r="15">
      <x:c r="A15" s="36" t="str">
        <x:v>Weekly</x:v>
      </x:c>
      <x:c r="B15" s="36" t="str">
        <x:v>Reporting</x:v>
      </x:c>
      <x:c r="C15" s="36" t="str">
        <x:v>Update KPI dashboard</x:v>
      </x:c>
      <x:c r="D15" s="36" t="str">
        <x:v>All daily rows entered</x:v>
      </x:c>
      <x:c r="E15" s="36" t="str">
        <x:v>Dashboard refreshed</x:v>
      </x:c>
      <x:c r="F15" s="36" t="str">
        <x:v>Growth Manager</x:v>
      </x:c>
      <x:c r="G15" s="36" t="str">
        <x:v>Not Started</x:v>
      </x:c>
      <x:c r="H15" s="36" t="str"/>
    </x:row>
    <x:row r="16">
      <x:c r="A16" s="36" t="str">
        <x:v>Weekly</x:v>
      </x:c>
      <x:c r="B16" s="36" t="str">
        <x:v>Inventory Signal</x:v>
      </x:c>
      <x:c r="C16" s="36" t="str">
        <x:v>Flag content-driven product demand</x:v>
      </x:c>
      <x:c r="D16" s="36" t="str">
        <x:v>Top products by DMs/clicks/orders</x:v>
      </x:c>
      <x:c r="E16" s="36" t="str">
        <x:v>Demand notes</x:v>
      </x:c>
      <x:c r="F16" s="36" t="str">
        <x:v>Growth Manager</x:v>
      </x:c>
      <x:c r="G16" s="36" t="str">
        <x:v>Not Started</x:v>
      </x:c>
      <x:c r="H16" s="36" t="str"/>
    </x:row>
    <x:row r="17">
      <x:c r="A17" s="36" t="str">
        <x:v>Weekly</x:v>
      </x:c>
      <x:c r="B17" s="36" t="str">
        <x:v>Partnerships</x:v>
      </x:c>
      <x:c r="C17" s="36" t="str">
        <x:v>Review inbound collab requests</x:v>
      </x:c>
      <x:c r="D17" s="36" t="str">
        <x:v>All qualified leads</x:v>
      </x:c>
      <x:c r="E17" s="36" t="str">
        <x:v>Accept / nurture / decline list</x:v>
      </x:c>
      <x:c r="F17" s="36" t="str">
        <x:v>Founder</x:v>
      </x:c>
      <x:c r="G17" s="36" t="str">
        <x:v>Not Started</x:v>
      </x:c>
      <x:c r="H17" s="36" t="str"/>
    </x:row>
    <x:row r="18">
      <x:c r="A18" s="36" t="str">
        <x:v>Weekly</x:v>
      </x:c>
      <x:c r="B18" s="36" t="str">
        <x:v>Customer Care</x:v>
      </x:c>
      <x:c r="C18" s="36" t="str">
        <x:v>Review unresolved DMs</x:v>
      </x:c>
      <x:c r="D18" s="36" t="str">
        <x:v>Zero warm buying DMs unanswered</x:v>
      </x:c>
      <x:c r="E18" s="36" t="str">
        <x:v>Follow-up list</x:v>
      </x:c>
      <x:c r="F18" s="36" t="str">
        <x:v>Growth Manager</x:v>
      </x:c>
      <x:c r="G18" s="36" t="str">
        <x:v>Not Started</x:v>
      </x:c>
      <x:c r="H18" s="36" t="str"/>
    </x:row>
    <x:row r="19">
      <x:c r="A19" s="36" t="str">
        <x:v>Weekly</x:v>
      </x:c>
      <x:c r="B19" s="36" t="str">
        <x:v>Learning</x:v>
      </x:c>
      <x:c r="C19" s="36" t="str">
        <x:v>Document what worked</x:v>
      </x:c>
      <x:c r="D19" s="36" t="str">
        <x:v>3 wins, 3 misses, 3 next tests</x:v>
      </x:c>
      <x:c r="E19" s="36" t="str">
        <x:v>Growth memo</x:v>
      </x:c>
      <x:c r="F19" s="36" t="str">
        <x:v>Growth Manager</x:v>
      </x:c>
      <x:c r="G19" s="36" t="str">
        <x:v>Not Started</x:v>
      </x:c>
      <x:c r="H19" s="36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14.4399995803833" hidden="0" customWidth="1"/>
    <x:col min="3" max="3" width="28.889999389648438" hidden="0" customWidth="1"/>
    <x:col min="4" max="4" width="31.110000610351562" hidden="0" customWidth="1"/>
    <x:col min="5" max="5" width="23.329999923706055" hidden="0" customWidth="1"/>
    <x:col min="6" max="6" width="14.4399995803833" hidden="0" customWidth="1"/>
    <x:col min="7" max="7" width="13.329999923706055" hidden="0" customWidth="1"/>
    <x:col min="8" max="8" width="27.780000686645508" hidden="0" customWidth="1"/>
  </x:cols>
  <x:sheetData>
    <x:row r="1">
      <x:c r="A1" s="33" t="str">
        <x:v>ASTRA STYLIX Monthly Growth Checklist</x:v>
      </x:c>
      <x:c r="B1" s="33" t="str">
        <x:v>ASTRA STYLIX Monthly Growth Checklist</x:v>
      </x:c>
      <x:c r="C1" s="33" t="str">
        <x:v>ASTRA STYLIX Monthly Growth Checklist</x:v>
      </x:c>
      <x:c r="D1" s="33" t="str">
        <x:v>ASTRA STYLIX Monthly Growth Checklist</x:v>
      </x:c>
      <x:c r="E1" s="33" t="str">
        <x:v>ASTRA STYLIX Monthly Growth Checklist</x:v>
      </x:c>
      <x:c r="F1" s="33" t="str">
        <x:v>ASTRA STYLIX Monthly Growth Checklist</x:v>
      </x:c>
      <x:c r="G1" s="33" t="str">
        <x:v>ASTRA STYLIX Monthly Growth Checklist</x:v>
      </x:c>
      <x:c r="H1" s="33" t="str">
        <x:v>ASTRA STYLIX Monthly Growth Checklist</x:v>
      </x:c>
    </x:row>
    <x:row r="2">
      <x:c r="A2" s="34" t="str">
        <x:v>Strategic review for brand equity, audience growth, content economics, and commerce conversion</x:v>
      </x:c>
      <x:c r="B2" s="35"/>
      <x:c r="C2" s="35"/>
      <x:c r="D2" s="35"/>
      <x:c r="E2" s="35"/>
      <x:c r="F2" s="35"/>
      <x:c r="G2" s="35"/>
      <x:c r="H2" s="35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1" t="str">
        <x:v>Week</x:v>
      </x:c>
      <x:c r="B4" s="31" t="str">
        <x:v>Area</x:v>
      </x:c>
      <x:c r="C4" s="31" t="str">
        <x:v>Checklist Item</x:v>
      </x:c>
      <x:c r="D4" s="31" t="str">
        <x:v>Target</x:v>
      </x:c>
      <x:c r="E4" s="31" t="str">
        <x:v>Decision / Output</x:v>
      </x:c>
      <x:c r="F4" s="31" t="str">
        <x:v>Owner</x:v>
      </x:c>
      <x:c r="G4" s="31" t="str">
        <x:v>Status</x:v>
      </x:c>
      <x:c r="H4" s="31" t="str">
        <x:v>Notes</x:v>
      </x:c>
    </x:row>
    <x:row r="5">
      <x:c r="A5" s="36" t="str">
        <x:v>Week 1</x:v>
      </x:c>
      <x:c r="B5" s="36" t="str">
        <x:v>KPI Review</x:v>
      </x:c>
      <x:c r="C5" s="36" t="str">
        <x:v>Review monthly performance</x:v>
      </x:c>
      <x:c r="D5" s="36" t="str">
        <x:v>All tracked KPIs vs prior month</x:v>
      </x:c>
      <x:c r="E5" s="36" t="str">
        <x:v>Monthly growth report</x:v>
      </x:c>
      <x:c r="F5" s="36" t="str">
        <x:v>Growth Manager</x:v>
      </x:c>
      <x:c r="G5" s="36" t="str">
        <x:v>Not Started</x:v>
      </x:c>
      <x:c r="H5" s="36" t="str"/>
    </x:row>
    <x:row r="6">
      <x:c r="A6" s="36" t="str">
        <x:v>Week 1</x:v>
      </x:c>
      <x:c r="B6" s="36" t="str">
        <x:v>Audience</x:v>
      </x:c>
      <x:c r="C6" s="36" t="str">
        <x:v>Analyze follower quality</x:v>
      </x:c>
      <x:c r="D6" s="36" t="str">
        <x:v>Top cities, age, gender, interests, buyer signals</x:v>
      </x:c>
      <x:c r="E6" s="36" t="str">
        <x:v>ICP refinement</x:v>
      </x:c>
      <x:c r="F6" s="36" t="str">
        <x:v>Growth Manager</x:v>
      </x:c>
      <x:c r="G6" s="36" t="str">
        <x:v>Not Started</x:v>
      </x:c>
      <x:c r="H6" s="36" t="str"/>
    </x:row>
    <x:row r="7">
      <x:c r="A7" s="36" t="str">
        <x:v>Week 1</x:v>
      </x:c>
      <x:c r="B7" s="36" t="str">
        <x:v>Content</x:v>
      </x:c>
      <x:c r="C7" s="36" t="str">
        <x:v>Rank creative formats</x:v>
      </x:c>
      <x:c r="D7" s="36" t="str">
        <x:v>Top 10 Reels by saves, reach, profile visits, orders</x:v>
      </x:c>
      <x:c r="E7" s="36" t="str">
        <x:v>Scale / stop list</x:v>
      </x:c>
      <x:c r="F7" s="36" t="str">
        <x:v>Creative Lead</x:v>
      </x:c>
      <x:c r="G7" s="36" t="str">
        <x:v>Not Started</x:v>
      </x:c>
      <x:c r="H7" s="36" t="str"/>
    </x:row>
    <x:row r="8">
      <x:c r="A8" s="36" t="str">
        <x:v>Week 2</x:v>
      </x:c>
      <x:c r="B8" s="36" t="str">
        <x:v>Brand</x:v>
      </x:c>
      <x:c r="C8" s="36" t="str">
        <x:v>Audit luxury consistency</x:v>
      </x:c>
      <x:c r="D8" s="36" t="str">
        <x:v>Visuals, copy, service tone, grid, Stories highlights</x:v>
      </x:c>
      <x:c r="E8" s="36" t="str">
        <x:v>Brand QA notes</x:v>
      </x:c>
      <x:c r="F8" s="36" t="str">
        <x:v>Founder</x:v>
      </x:c>
      <x:c r="G8" s="36" t="str">
        <x:v>Not Started</x:v>
      </x:c>
      <x:c r="H8" s="36" t="str"/>
    </x:row>
    <x:row r="9">
      <x:c r="A9" s="36" t="str">
        <x:v>Week 2</x:v>
      </x:c>
      <x:c r="B9" s="36" t="str">
        <x:v>Commerce</x:v>
      </x:c>
      <x:c r="C9" s="36" t="str">
        <x:v>Review website conversion</x:v>
      </x:c>
      <x:c r="D9" s="36" t="str">
        <x:v>Clicks to orders, best product paths, checkout issues</x:v>
      </x:c>
      <x:c r="E9" s="36" t="str">
        <x:v>Conversion action list</x:v>
      </x:c>
      <x:c r="F9" s="36" t="str">
        <x:v>Growth Manager</x:v>
      </x:c>
      <x:c r="G9" s="36" t="str">
        <x:v>Not Started</x:v>
      </x:c>
      <x:c r="H9" s="36" t="str"/>
    </x:row>
    <x:row r="10">
      <x:c r="A10" s="36" t="str">
        <x:v>Week 2</x:v>
      </x:c>
      <x:c r="B10" s="36" t="str">
        <x:v>Community</x:v>
      </x:c>
      <x:c r="C10" s="36" t="str">
        <x:v>Review VIP prospects</x:v>
      </x:c>
      <x:c r="D10" s="36" t="str">
        <x:v>Stylists, creators, repeat commenters, warm DMs</x:v>
      </x:c>
      <x:c r="E10" s="36" t="str">
        <x:v>Relationship map</x:v>
      </x:c>
      <x:c r="F10" s="36" t="str">
        <x:v>Growth Manager</x:v>
      </x:c>
      <x:c r="G10" s="36" t="str">
        <x:v>Not Started</x:v>
      </x:c>
      <x:c r="H10" s="36" t="str"/>
    </x:row>
    <x:row r="11">
      <x:c r="A11" s="36" t="str">
        <x:v>Week 3</x:v>
      </x:c>
      <x:c r="B11" s="36" t="str">
        <x:v>Campaigns</x:v>
      </x:c>
      <x:c r="C11" s="36" t="str">
        <x:v>Plan next launch/theme</x:v>
      </x:c>
      <x:c r="D11" s="36" t="str">
        <x:v>Collection, drop, gift guide, bridal, seasonal, event</x:v>
      </x:c>
      <x:c r="E11" s="36" t="str">
        <x:v>Campaign brief</x:v>
      </x:c>
      <x:c r="F11" s="36" t="str">
        <x:v>Founder</x:v>
      </x:c>
      <x:c r="G11" s="36" t="str">
        <x:v>Not Started</x:v>
      </x:c>
      <x:c r="H11" s="36" t="str"/>
    </x:row>
    <x:row r="12">
      <x:c r="A12" s="36" t="str">
        <x:v>Week 3</x:v>
      </x:c>
      <x:c r="B12" s="36" t="str">
        <x:v>Collabs</x:v>
      </x:c>
      <x:c r="C12" s="36" t="str">
        <x:v>Select creator/stylist partners</x:v>
      </x:c>
      <x:c r="D12" s="36" t="str">
        <x:v>3-5 aligned partners</x:v>
      </x:c>
      <x:c r="E12" s="36" t="str">
        <x:v>Partnership shortlist</x:v>
      </x:c>
      <x:c r="F12" s="36" t="str">
        <x:v>Growth Manager</x:v>
      </x:c>
      <x:c r="G12" s="36" t="str">
        <x:v>Not Started</x:v>
      </x:c>
      <x:c r="H12" s="36" t="str"/>
    </x:row>
    <x:row r="13">
      <x:c r="A13" s="36" t="str">
        <x:v>Week 4</x:v>
      </x:c>
      <x:c r="B13" s="36" t="str">
        <x:v>Forecast</x:v>
      </x:c>
      <x:c r="C13" s="36" t="str">
        <x:v>Set next month targets</x:v>
      </x:c>
      <x:c r="D13" s="36" t="str">
        <x:v>Followers, reach, views, saves, visits, clicks, orders</x:v>
      </x:c>
      <x:c r="E13" s="36" t="str">
        <x:v>Target sheet updated</x:v>
      </x:c>
      <x:c r="F13" s="36" t="str">
        <x:v>Growth Manager</x:v>
      </x:c>
      <x:c r="G13" s="36" t="str">
        <x:v>Not Started</x:v>
      </x:c>
      <x:c r="H13" s="36" t="str"/>
    </x:row>
    <x:row r="14">
      <x:c r="A14" s="36" t="str">
        <x:v>Week 4</x:v>
      </x:c>
      <x:c r="B14" s="36" t="str">
        <x:v>Creative Ops</x:v>
      </x:c>
      <x:c r="C14" s="36" t="str">
        <x:v>Build monthly content calendar</x:v>
      </x:c>
      <x:c r="D14" s="36" t="str">
        <x:v>60 Reels, daily Stories, launch moments</x:v>
      </x:c>
      <x:c r="E14" s="36" t="str">
        <x:v>Publishing calendar</x:v>
      </x:c>
      <x:c r="F14" s="36" t="str">
        <x:v>Creative Lead</x:v>
      </x:c>
      <x:c r="G14" s="36" t="str">
        <x:v>Not Started</x:v>
      </x:c>
      <x:c r="H14" s="36" t="str"/>
    </x:row>
    <x:row r="15">
      <x:c r="A15" s="36" t="str">
        <x:v>Week 4</x:v>
      </x:c>
      <x:c r="B15" s="36" t="str">
        <x:v>Retention</x:v>
      </x:c>
      <x:c r="C15" s="36" t="str">
        <x:v>Review customer content and reviews</x:v>
      </x:c>
      <x:c r="D15" s="36" t="str">
        <x:v>UGC, testimonials, unboxings, post-purchase DMs</x:v>
      </x:c>
      <x:c r="E15" s="36" t="str">
        <x:v>Social proof library</x:v>
      </x:c>
      <x:c r="F15" s="36" t="str">
        <x:v>Growth Manager</x:v>
      </x:c>
      <x:c r="G15" s="36" t="str">
        <x:v>Not Started</x:v>
      </x:c>
      <x:c r="H15" s="36" t="str"/>
    </x:row>
    <x:row r="16">
      <x:c r="A16" s="36" t="str">
        <x:v>Monthly</x:v>
      </x:c>
      <x:c r="B16" s="36" t="str">
        <x:v>Executive</x:v>
      </x:c>
      <x:c r="C16" s="36" t="str">
        <x:v>Founder review</x:v>
      </x:c>
      <x:c r="D16" s="36" t="str">
        <x:v>What to scale, pause, hire, spend, or automate</x:v>
      </x:c>
      <x:c r="E16" s="36" t="str">
        <x:v>Decision log</x:v>
      </x:c>
      <x:c r="F16" s="36" t="str">
        <x:v>Founder</x:v>
      </x:c>
      <x:c r="G16" s="36" t="str">
        <x:v>Not Started</x:v>
      </x:c>
      <x:c r="H16" s="36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0" hidden="0" customWidth="1"/>
    <x:col min="3" max="3" width="10" hidden="0" customWidth="1"/>
    <x:col min="4" max="4" width="14.4399995803833" hidden="0" customWidth="1"/>
    <x:col min="5" max="5" width="12.779999732971191" hidden="0" customWidth="1"/>
    <x:col min="6" max="6" width="23.329999923706055" hidden="0" customWidth="1"/>
    <x:col min="7" max="7" width="46.66999816894531" hidden="0" customWidth="1"/>
    <x:col min="8" max="8" width="14.4399995803833" hidden="0" customWidth="1"/>
    <x:col min="9" max="9" width="14.4399995803833" hidden="0" customWidth="1"/>
    <x:col min="10" max="10" width="21.110000610351562" hidden="0" customWidth="1"/>
  </x:cols>
  <x:sheetData>
    <x:row r="1">
      <x:c r="A1" s="33" t="str">
        <x:v>Google Calendar Recurring Events</x:v>
      </x:c>
      <x:c r="B1" s="33" t="str">
        <x:v>Google Calendar Recurring Events</x:v>
      </x:c>
      <x:c r="C1" s="33" t="str">
        <x:v>Google Calendar Recurring Events</x:v>
      </x:c>
      <x:c r="D1" s="33" t="str">
        <x:v>Google Calendar Recurring Events</x:v>
      </x:c>
      <x:c r="E1" s="33" t="str">
        <x:v>Google Calendar Recurring Events</x:v>
      </x:c>
      <x:c r="F1" s="33" t="str">
        <x:v>Google Calendar Recurring Events</x:v>
      </x:c>
      <x:c r="G1" s="33" t="str">
        <x:v>Google Calendar Recurring Events</x:v>
      </x:c>
      <x:c r="H1" s="33" t="str">
        <x:v>Google Calendar Recurring Events</x:v>
      </x:c>
      <x:c r="I1" s="33" t="str">
        <x:v>Google Calendar Recurring Events</x:v>
      </x:c>
      <x:c r="J1" s="33" t="str">
        <x:v>Google Calendar Recurring Events</x:v>
      </x:c>
    </x:row>
    <x:row r="2">
      <x:c r="A2" s="34" t="str">
        <x:v>Import-ready event structure. Time zone: Asia/Shanghai. Recurrence uses daily RRULE.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>
      <x:c r="A4" s="31" t="str">
        <x:v>Event</x:v>
      </x:c>
      <x:c r="B4" s="31" t="str">
        <x:v>Start Time</x:v>
      </x:c>
      <x:c r="C4" s="31" t="str">
        <x:v>End Time</x:v>
      </x:c>
      <x:c r="D4" s="31" t="str">
        <x:v>Time Zone</x:v>
      </x:c>
      <x:c r="E4" s="31" t="str">
        <x:v>Frequency</x:v>
      </x:c>
      <x:c r="F4" s="31" t="str">
        <x:v>RRULE</x:v>
      </x:c>
      <x:c r="G4" s="31" t="str">
        <x:v>Description</x:v>
      </x:c>
      <x:c r="H4" s="31" t="str">
        <x:v>Reminder 1</x:v>
      </x:c>
      <x:c r="I4" s="31" t="str">
        <x:v>Reminder 2</x:v>
      </x:c>
      <x:c r="J4" s="31" t="str">
        <x:v>Owner</x:v>
      </x:c>
    </x:row>
    <x:row r="5">
      <x:c r="A5" s="36" t="str">
        <x:v>AM Instagram Community Sprint</x:v>
      </x:c>
      <x:c r="B5" s="36" t="str">
        <x:v>08:00</x:v>
      </x:c>
      <x:c r="C5" s="36" t="str">
        <x:v>09:45</x:v>
      </x:c>
      <x:c r="D5" s="36" t="str">
        <x:v>Asia/Shanghai</x:v>
      </x:c>
      <x:c r="E5" s="36" t="str">
        <x:v>Daily</x:v>
      </x:c>
      <x:c r="F5" s="36" t="str">
        <x:v>RRULE:FREQ=DAILY</x:v>
      </x:c>
      <x:c r="G5" s="36" t="str">
        <x:v>Check notifications, reply comments, reply DMs, like 50 jewelry/fashion posts, leave 20 meaningful comments.</x:v>
      </x:c>
      <x:c r="H5" s="36" t="str">
        <x:v>10 minutes before</x:v>
      </x:c>
      <x:c r="I5" s="36" t="str">
        <x:v>At time of event</x:v>
      </x:c>
      <x:c r="J5" s="36" t="str">
        <x:v>ASTRA STYLIX Growth Manager</x:v>
      </x:c>
    </x:row>
    <x:row r="6">
      <x:c r="A6" s="36" t="str">
        <x:v>Publish First Reel + Engage</x:v>
      </x:c>
      <x:c r="B6" s="36" t="str">
        <x:v>19:00</x:v>
      </x:c>
      <x:c r="C6" s="36" t="str">
        <x:v>19:35</x:v>
      </x:c>
      <x:c r="D6" s="36" t="str">
        <x:v>Asia/Shanghai</x:v>
      </x:c>
      <x:c r="E6" s="36" t="str">
        <x:v>Daily</x:v>
      </x:c>
      <x:c r="F6" s="36" t="str">
        <x:v>RRULE:FREQ=DAILY</x:v>
      </x:c>
      <x:c r="G6" s="36" t="str">
        <x:v>Publish first Reel, then engage with audience for 30 minutes.</x:v>
      </x:c>
      <x:c r="H6" s="36" t="str">
        <x:v>15 minutes before</x:v>
      </x:c>
      <x:c r="I6" s="36" t="str">
        <x:v>At time of event</x:v>
      </x:c>
      <x:c r="J6" s="36" t="str">
        <x:v>ASTRA STYLIX Growth Manager</x:v>
      </x:c>
    </x:row>
    <x:row r="7">
      <x:c r="A7" s="36" t="str">
        <x:v>Publish Daily Story</x:v>
      </x:c>
      <x:c r="B7" s="36" t="str">
        <x:v>20:00</x:v>
      </x:c>
      <x:c r="C7" s="36" t="str">
        <x:v>20:10</x:v>
      </x:c>
      <x:c r="D7" s="36" t="str">
        <x:v>Asia/Shanghai</x:v>
      </x:c>
      <x:c r="E7" s="36" t="str">
        <x:v>Daily</x:v>
      </x:c>
      <x:c r="F7" s="36" t="str">
        <x:v>RRULE:FREQ=DAILY</x:v>
      </x:c>
      <x:c r="G7" s="36" t="str">
        <x:v>Publish one Story set with interactive sticker or link.</x:v>
      </x:c>
      <x:c r="H7" s="36" t="str">
        <x:v>10 minutes before</x:v>
      </x:c>
      <x:c r="I7" s="36" t="str">
        <x:v>At time of event</x:v>
      </x:c>
      <x:c r="J7" s="36" t="str">
        <x:v>ASTRA STYLIX Growth Manager</x:v>
      </x:c>
    </x:row>
    <x:row r="8">
      <x:c r="A8" s="36" t="str">
        <x:v>Publish Second Reel + PM Engagement</x:v>
      </x:c>
      <x:c r="B8" s="36" t="str">
        <x:v>21:00</x:v>
      </x:c>
      <x:c r="C8" s="36" t="str">
        <x:v>22:00</x:v>
      </x:c>
      <x:c r="D8" s="36" t="str">
        <x:v>Asia/Shanghai</x:v>
      </x:c>
      <x:c r="E8" s="36" t="str">
        <x:v>Daily</x:v>
      </x:c>
      <x:c r="F8" s="36" t="str">
        <x:v>RRULE:FREQ=DAILY</x:v>
      </x:c>
      <x:c r="G8" s="36" t="str">
        <x:v>Publish second Reel, like 50 more jewelry/fashion posts, leave 20 more meaningful comments.</x:v>
      </x:c>
      <x:c r="H8" s="36" t="str">
        <x:v>15 minutes before</x:v>
      </x:c>
      <x:c r="I8" s="36" t="str">
        <x:v>At time of event</x:v>
      </x:c>
      <x:c r="J8" s="36" t="str">
        <x:v>ASTRA STYLIX Growth Manager</x:v>
      </x:c>
    </x:row>
    <x:row r="9">
      <x:c r="A9" s="36" t="str">
        <x:v>Weekly Growth Review</x:v>
      </x:c>
      <x:c r="B9" s="36" t="str">
        <x:v>10:00</x:v>
      </x:c>
      <x:c r="C9" s="36" t="str">
        <x:v>11:00</x:v>
      </x:c>
      <x:c r="D9" s="36" t="str">
        <x:v>Asia/Shanghai</x:v>
      </x:c>
      <x:c r="E9" s="36" t="str">
        <x:v>Weekly Monday</x:v>
      </x:c>
      <x:c r="F9" s="36" t="str">
        <x:v>RRULE:FREQ=WEEKLY;BYDAY=MO</x:v>
      </x:c>
      <x:c r="G9" s="36" t="str">
        <x:v>Review previous week KPIs, creative learnings, conversion signals, and next tests.</x:v>
      </x:c>
      <x:c r="H9" s="36" t="str">
        <x:v>1 hour before</x:v>
      </x:c>
      <x:c r="I9" s="36" t="str">
        <x:v>10 minutes before</x:v>
      </x:c>
      <x:c r="J9" s="36" t="str">
        <x:v>ASTRA STYLIX Growth Manager</x:v>
      </x:c>
    </x:row>
    <x:row r="10">
      <x:c r="A10" s="36" t="str">
        <x:v>Monthly Growth Board</x:v>
      </x:c>
      <x:c r="B10" s="36" t="str">
        <x:v>10:00</x:v>
      </x:c>
      <x:c r="C10" s="36" t="str">
        <x:v>11:30</x:v>
      </x:c>
      <x:c r="D10" s="36" t="str">
        <x:v>Asia/Shanghai</x:v>
      </x:c>
      <x:c r="E10" s="36" t="str">
        <x:v>Monthly 1st</x:v>
      </x:c>
      <x:c r="F10" s="36" t="str">
        <x:v>RRULE:FREQ=MONTHLY;BYMONTHDAY=1</x:v>
      </x:c>
      <x:c r="G10" s="36" t="str">
        <x:v>Review monthly KPIs, brand quality, conversion path, and next month growth targets.</x:v>
      </x:c>
      <x:c r="H10" s="36" t="str">
        <x:v>1 day before</x:v>
      </x:c>
      <x:c r="I10" s="36" t="str">
        <x:v>1 hour before</x:v>
      </x:c>
      <x:c r="J10" s="36" t="str">
        <x:v>Founder + Growth Manager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21.110000610351562" hidden="0" customWidth="1"/>
    <x:col min="3" max="3" width="11.670000076293945" hidden="0" customWidth="1"/>
    <x:col min="4" max="4" width="30" hidden="0" customWidth="1"/>
    <x:col min="5" max="5" width="23.329999923706055" hidden="0" customWidth="1"/>
    <x:col min="6" max="6" width="15.5600004196167" hidden="0" customWidth="1"/>
    <x:col min="7" max="7" width="13.329999923706055" hidden="0" customWidth="1"/>
    <x:col min="8" max="8" width="16.670000076293945" hidden="0" customWidth="1"/>
    <x:col min="9" max="9" width="20" hidden="0" customWidth="1"/>
  </x:cols>
  <x:sheetData>
    <x:row r="1">
      <x:c r="A1" s="33" t="str">
        <x:v>Notion Dashboard Blueprint</x:v>
      </x:c>
      <x:c r="B1" s="33" t="str">
        <x:v>Notion Dashboard Blueprint</x:v>
      </x:c>
      <x:c r="C1" s="33" t="str">
        <x:v>Notion Dashboard Blueprint</x:v>
      </x:c>
      <x:c r="D1" s="33" t="str">
        <x:v>Notion Dashboard Blueprint</x:v>
      </x:c>
      <x:c r="E1" s="33" t="str">
        <x:v>Notion Dashboard Blueprint</x:v>
      </x:c>
      <x:c r="F1" s="33" t="str">
        <x:v>Notion Dashboard Blueprint</x:v>
      </x:c>
      <x:c r="G1" s="33" t="str">
        <x:v>Notion Dashboard Blueprint</x:v>
      </x:c>
      <x:c r="H1" s="33" t="str">
        <x:v>Notion Dashboard Blueprint</x:v>
      </x:c>
      <x:c r="I1" s="33" t="str">
        <x:v>Notion Dashboard Blueprint</x:v>
      </x:c>
    </x:row>
    <x:row r="2">
      <x:c r="A2" s="34" t="str">
        <x:v>Create these databases/views in Notion, or paste the rows as tables.</x:v>
      </x:c>
      <x:c r="B2" s="35"/>
      <x:c r="C2" s="35"/>
      <x:c r="D2" s="35"/>
      <x:c r="E2" s="35"/>
      <x:c r="F2" s="35"/>
      <x:c r="G2" s="35"/>
      <x:c r="H2" s="35"/>
      <x:c r="I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31" t="str">
        <x:v>Database / View</x:v>
      </x:c>
      <x:c r="B4" s="31" t="str">
        <x:v>Property</x:v>
      </x:c>
      <x:c r="C4" s="31" t="str">
        <x:v>Type</x:v>
      </x:c>
      <x:c r="D4" s="31" t="str">
        <x:v>Options / Formula</x:v>
      </x:c>
      <x:c r="E4" s="31" t="str">
        <x:v>Purpose</x:v>
      </x:c>
      <x:c r="F4" s="31" t="str">
        <x:v>Default View</x:v>
      </x:c>
      <x:c r="G4" s="31" t="str">
        <x:v>Update Cadence</x:v>
      </x:c>
      <x:c r="H4" s="31" t="str">
        <x:v>Owner</x:v>
      </x:c>
      <x:c r="I4" s="31" t="str">
        <x:v>Notes</x:v>
      </x:c>
    </x:row>
    <x:row r="5">
      <x:c r="A5" s="36" t="str">
        <x:v>Daily Growth Command</x:v>
      </x:c>
      <x:c r="B5" s="36" t="str">
        <x:v>Date</x:v>
      </x:c>
      <x:c r="C5" s="36" t="str">
        <x:v>Date</x:v>
      </x:c>
      <x:c r="D5" s="36" t="str">
        <x:v>Today</x:v>
      </x:c>
      <x:c r="E5" s="36" t="str">
        <x:v>Daily operating record</x:v>
      </x:c>
      <x:c r="F5" s="36" t="str">
        <x:v>Today</x:v>
      </x:c>
      <x:c r="G5" s="36" t="str">
        <x:v>Daily</x:v>
      </x:c>
      <x:c r="H5" s="36" t="str">
        <x:v>Growth Manager</x:v>
      </x:c>
      <x:c r="I5" s="36" t="str"/>
    </x:row>
    <x:row r="6">
      <x:c r="A6" s="36" t="str">
        <x:v>Daily Growth Command</x:v>
      </x:c>
      <x:c r="B6" s="36" t="str">
        <x:v>AM Checklist Complete</x:v>
      </x:c>
      <x:c r="C6" s="36" t="str">
        <x:v>Checkbox</x:v>
      </x:c>
      <x:c r="D6" s="36" t="str">
        <x:v>Notifications, comments, DMs, 50 likes, 20 comments</x:v>
      </x:c>
      <x:c r="E6" s="36" t="str">
        <x:v>Morning execution quality</x:v>
      </x:c>
      <x:c r="F6" s="36" t="str">
        <x:v>Today</x:v>
      </x:c>
      <x:c r="G6" s="36" t="str">
        <x:v>Daily</x:v>
      </x:c>
      <x:c r="H6" s="36" t="str">
        <x:v>Growth Manager</x:v>
      </x:c>
      <x:c r="I6" s="36" t="str"/>
    </x:row>
    <x:row r="7">
      <x:c r="A7" s="36" t="str">
        <x:v>Daily Growth Command</x:v>
      </x:c>
      <x:c r="B7" s="36" t="str">
        <x:v>PM Checklist Complete</x:v>
      </x:c>
      <x:c r="C7" s="36" t="str">
        <x:v>Checkbox</x:v>
      </x:c>
      <x:c r="D7" s="36" t="str">
        <x:v>First Reel, Story, second Reel, 50 likes, 20 comments</x:v>
      </x:c>
      <x:c r="E7" s="36" t="str">
        <x:v>Evening execution quality</x:v>
      </x:c>
      <x:c r="F7" s="36" t="str">
        <x:v>Today</x:v>
      </x:c>
      <x:c r="G7" s="36" t="str">
        <x:v>Daily</x:v>
      </x:c>
      <x:c r="H7" s="36" t="str">
        <x:v>Growth Manager</x:v>
      </x:c>
      <x:c r="I7" s="36" t="str"/>
    </x:row>
    <x:row r="8">
      <x:c r="A8" s="36" t="str">
        <x:v>Daily Growth Command</x:v>
      </x:c>
      <x:c r="B8" s="36" t="str">
        <x:v>Followers</x:v>
      </x:c>
      <x:c r="C8" s="36" t="str">
        <x:v>Number</x:v>
      </x:c>
      <x:c r="D8" s="36" t="str">
        <x:v>Daily ending follower count</x:v>
      </x:c>
      <x:c r="E8" s="36" t="str">
        <x:v>Audience growth</x:v>
      </x:c>
      <x:c r="F8" s="36" t="str">
        <x:v>KPI Table</x:v>
      </x:c>
      <x:c r="G8" s="36" t="str">
        <x:v>Daily</x:v>
      </x:c>
      <x:c r="H8" s="36" t="str">
        <x:v>Growth Manager</x:v>
      </x:c>
      <x:c r="I8" s="36" t="str"/>
    </x:row>
    <x:row r="9">
      <x:c r="A9" s="36" t="str">
        <x:v>Daily Growth Command</x:v>
      </x:c>
      <x:c r="B9" s="36" t="str">
        <x:v>Reach</x:v>
      </x:c>
      <x:c r="C9" s="36" t="str">
        <x:v>Number</x:v>
      </x:c>
      <x:c r="D9" s="36" t="str">
        <x:v>Instagram reach</x:v>
      </x:c>
      <x:c r="E9" s="36" t="str">
        <x:v>Top-of-funnel distribution</x:v>
      </x:c>
      <x:c r="F9" s="36" t="str">
        <x:v>KPI Table</x:v>
      </x:c>
      <x:c r="G9" s="36" t="str">
        <x:v>Daily</x:v>
      </x:c>
      <x:c r="H9" s="36" t="str">
        <x:v>Growth Manager</x:v>
      </x:c>
      <x:c r="I9" s="36" t="str"/>
    </x:row>
    <x:row r="10">
      <x:c r="A10" s="36" t="str">
        <x:v>Daily Growth Command</x:v>
      </x:c>
      <x:c r="B10" s="36" t="str">
        <x:v>Reel Views</x:v>
      </x:c>
      <x:c r="C10" s="36" t="str">
        <x:v>Number</x:v>
      </x:c>
      <x:c r="D10" s="36" t="str">
        <x:v>Combined daily Reel views</x:v>
      </x:c>
      <x:c r="E10" s="36" t="str">
        <x:v>Creative resonance</x:v>
      </x:c>
      <x:c r="F10" s="36" t="str">
        <x:v>KPI Table</x:v>
      </x:c>
      <x:c r="G10" s="36" t="str">
        <x:v>Daily</x:v>
      </x:c>
      <x:c r="H10" s="36" t="str">
        <x:v>Growth Manager</x:v>
      </x:c>
      <x:c r="I10" s="36" t="str"/>
    </x:row>
    <x:row r="11">
      <x:c r="A11" s="36" t="str">
        <x:v>Daily Growth Command</x:v>
      </x:c>
      <x:c r="B11" s="36" t="str">
        <x:v>Saves</x:v>
      </x:c>
      <x:c r="C11" s="36" t="str">
        <x:v>Number</x:v>
      </x:c>
      <x:c r="D11" s="36" t="str">
        <x:v>Daily saves</x:v>
      </x:c>
      <x:c r="E11" s="36" t="str">
        <x:v>Luxury intent signal</x:v>
      </x:c>
      <x:c r="F11" s="36" t="str">
        <x:v>KPI Table</x:v>
      </x:c>
      <x:c r="G11" s="36" t="str">
        <x:v>Daily</x:v>
      </x:c>
      <x:c r="H11" s="36" t="str">
        <x:v>Growth Manager</x:v>
      </x:c>
      <x:c r="I11" s="36" t="str"/>
    </x:row>
    <x:row r="12">
      <x:c r="A12" s="36" t="str">
        <x:v>Daily Growth Command</x:v>
      </x:c>
      <x:c r="B12" s="36" t="str">
        <x:v>Profile Visits</x:v>
      </x:c>
      <x:c r="C12" s="36" t="str">
        <x:v>Number</x:v>
      </x:c>
      <x:c r="D12" s="36" t="str">
        <x:v>Daily profile visits</x:v>
      </x:c>
      <x:c r="E12" s="36" t="str">
        <x:v>Interest quality</x:v>
      </x:c>
      <x:c r="F12" s="36" t="str">
        <x:v>KPI Table</x:v>
      </x:c>
      <x:c r="G12" s="36" t="str">
        <x:v>Daily</x:v>
      </x:c>
      <x:c r="H12" s="36" t="str">
        <x:v>Growth Manager</x:v>
      </x:c>
      <x:c r="I12" s="36" t="str"/>
    </x:row>
    <x:row r="13">
      <x:c r="A13" s="36" t="str">
        <x:v>Daily Growth Command</x:v>
      </x:c>
      <x:c r="B13" s="36" t="str">
        <x:v>Website Clicks</x:v>
      </x:c>
      <x:c r="C13" s="36" t="str">
        <x:v>Number</x:v>
      </x:c>
      <x:c r="D13" s="36" t="str">
        <x:v>Daily link clicks</x:v>
      </x:c>
      <x:c r="E13" s="36" t="str">
        <x:v>Commerce intent</x:v>
      </x:c>
      <x:c r="F13" s="36" t="str">
        <x:v>KPI Table</x:v>
      </x:c>
      <x:c r="G13" s="36" t="str">
        <x:v>Daily</x:v>
      </x:c>
      <x:c r="H13" s="36" t="str">
        <x:v>Growth Manager</x:v>
      </x:c>
      <x:c r="I13" s="36" t="str"/>
    </x:row>
    <x:row r="14">
      <x:c r="A14" s="36" t="str">
        <x:v>Daily Growth Command</x:v>
      </x:c>
      <x:c r="B14" s="36" t="str">
        <x:v>Orders</x:v>
      </x:c>
      <x:c r="C14" s="36" t="str">
        <x:v>Number</x:v>
      </x:c>
      <x:c r="D14" s="36" t="str">
        <x:v>Daily orders attributed/observed</x:v>
      </x:c>
      <x:c r="E14" s="36" t="str">
        <x:v>Revenue outcome</x:v>
      </x:c>
      <x:c r="F14" s="36" t="str">
        <x:v>KPI Table</x:v>
      </x:c>
      <x:c r="G14" s="36" t="str">
        <x:v>Daily</x:v>
      </x:c>
      <x:c r="H14" s="36" t="str">
        <x:v>Growth Manager</x:v>
      </x:c>
      <x:c r="I14" s="36" t="str"/>
    </x:row>
    <x:row r="15">
      <x:c r="A15" s="36" t="str">
        <x:v>Content Pipeline</x:v>
      </x:c>
      <x:c r="B15" s="36" t="str">
        <x:v>Content ID</x:v>
      </x:c>
      <x:c r="C15" s="36" t="str">
        <x:v>Text</x:v>
      </x:c>
      <x:c r="D15" s="36" t="str">
        <x:v>R001, R002, S001</x:v>
      </x:c>
      <x:c r="E15" s="36" t="str">
        <x:v>Asset tracking</x:v>
      </x:c>
      <x:c r="F15" s="36" t="str">
        <x:v>Board by Status</x:v>
      </x:c>
      <x:c r="G15" s="36" t="str">
        <x:v>Daily</x:v>
      </x:c>
      <x:c r="H15" s="36" t="str">
        <x:v>Creative Lead</x:v>
      </x:c>
      <x:c r="I15" s="36" t="str"/>
    </x:row>
    <x:row r="16">
      <x:c r="A16" s="36" t="str">
        <x:v>Content Pipeline</x:v>
      </x:c>
      <x:c r="B16" s="36" t="str">
        <x:v>Format</x:v>
      </x:c>
      <x:c r="C16" s="36" t="str">
        <x:v>Select</x:v>
      </x:c>
      <x:c r="D16" s="36" t="str">
        <x:v>Reel, Story, Carousel, Live</x:v>
      </x:c>
      <x:c r="E16" s="36" t="str">
        <x:v>Creative mix</x:v>
      </x:c>
      <x:c r="F16" s="36" t="str">
        <x:v>Calendar</x:v>
      </x:c>
      <x:c r="G16" s="36" t="str">
        <x:v>Daily</x:v>
      </x:c>
      <x:c r="H16" s="36" t="str">
        <x:v>Creative Lead</x:v>
      </x:c>
      <x:c r="I16" s="36" t="str"/>
    </x:row>
    <x:row r="17">
      <x:c r="A17" s="36" t="str">
        <x:v>Content Pipeline</x:v>
      </x:c>
      <x:c r="B17" s="36" t="str">
        <x:v>Angle</x:v>
      </x:c>
      <x:c r="C17" s="36" t="str">
        <x:v>Select</x:v>
      </x:c>
      <x:c r="D17" s="36" t="str">
        <x:v>Product, Craft, Styling, Founder, Social Proof, Gift, Bridal</x:v>
      </x:c>
      <x:c r="E17" s="36" t="str">
        <x:v>Creative hypothesis</x:v>
      </x:c>
      <x:c r="F17" s="36" t="str">
        <x:v>Board by Angle</x:v>
      </x:c>
      <x:c r="G17" s="36" t="str">
        <x:v>Weekly</x:v>
      </x:c>
      <x:c r="H17" s="36" t="str">
        <x:v>Growth Manager</x:v>
      </x:c>
      <x:c r="I17" s="36" t="str"/>
    </x:row>
    <x:row r="18">
      <x:c r="A18" s="36" t="str">
        <x:v>Content Pipeline</x:v>
      </x:c>
      <x:c r="B18" s="36" t="str">
        <x:v>Status</x:v>
      </x:c>
      <x:c r="C18" s="36" t="str">
        <x:v>Select</x:v>
      </x:c>
      <x:c r="D18" s="36" t="str">
        <x:v>Idea, Scripted, Shot, Edited, Scheduled, Published, Learned</x:v>
      </x:c>
      <x:c r="E18" s="36" t="str">
        <x:v>Production state</x:v>
      </x:c>
      <x:c r="F18" s="36" t="str">
        <x:v>Board by Status</x:v>
      </x:c>
      <x:c r="G18" s="36" t="str">
        <x:v>Daily</x:v>
      </x:c>
      <x:c r="H18" s="36" t="str">
        <x:v>Creative Lead</x:v>
      </x:c>
      <x:c r="I18" s="36" t="str"/>
    </x:row>
    <x:row r="19">
      <x:c r="A19" s="36" t="str">
        <x:v>Content Pipeline</x:v>
      </x:c>
      <x:c r="B19" s="36" t="str">
        <x:v>Publish Time</x:v>
      </x:c>
      <x:c r="C19" s="36" t="str">
        <x:v>Date</x:v>
      </x:c>
      <x:c r="D19" s="36" t="str">
        <x:v>Asia/Shanghai</x:v>
      </x:c>
      <x:c r="E19" s="36" t="str">
        <x:v>Scheduling</x:v>
      </x:c>
      <x:c r="F19" s="36" t="str">
        <x:v>Calendar</x:v>
      </x:c>
      <x:c r="G19" s="36" t="str">
        <x:v>Daily</x:v>
      </x:c>
      <x:c r="H19" s="36" t="str">
        <x:v>Growth Manager</x:v>
      </x:c>
      <x:c r="I19" s="36" t="str"/>
    </x:row>
    <x:row r="20">
      <x:c r="A20" s="36" t="str">
        <x:v>Experiment Log</x:v>
      </x:c>
      <x:c r="B20" s="36" t="str">
        <x:v>Hypothesis</x:v>
      </x:c>
      <x:c r="C20" s="36" t="str">
        <x:v>Text</x:v>
      </x:c>
      <x:c r="D20" s="36" t="str">
        <x:v>If we lead with X, then Y should improve</x:v>
      </x:c>
      <x:c r="E20" s="36" t="str">
        <x:v>Learning system</x:v>
      </x:c>
      <x:c r="F20" s="36" t="str">
        <x:v>Table</x:v>
      </x:c>
      <x:c r="G20" s="36" t="str">
        <x:v>Weekly</x:v>
      </x:c>
      <x:c r="H20" s="36" t="str">
        <x:v>Growth Manager</x:v>
      </x:c>
      <x:c r="I20" s="36" t="str"/>
    </x:row>
    <x:row r="21">
      <x:c r="A21" s="36" t="str">
        <x:v>Experiment Log</x:v>
      </x:c>
      <x:c r="B21" s="36" t="str">
        <x:v>Primary KPI</x:v>
      </x:c>
      <x:c r="C21" s="36" t="str">
        <x:v>Select</x:v>
      </x:c>
      <x:c r="D21" s="36" t="str">
        <x:v>Reach, Views, Saves, Visits, Clicks, Orders</x:v>
      </x:c>
      <x:c r="E21" s="36" t="str">
        <x:v>Success metric</x:v>
      </x:c>
      <x:c r="F21" s="36" t="str">
        <x:v>Table</x:v>
      </x:c>
      <x:c r="G21" s="36" t="str">
        <x:v>Weekly</x:v>
      </x:c>
      <x:c r="H21" s="36" t="str">
        <x:v>Growth Manager</x:v>
      </x:c>
      <x:c r="I21" s="36" t="str"/>
    </x:row>
    <x:row r="22">
      <x:c r="A22" s="36" t="str">
        <x:v>Experiment Log</x:v>
      </x:c>
      <x:c r="B22" s="36" t="str">
        <x:v>Result</x:v>
      </x:c>
      <x:c r="C22" s="36" t="str">
        <x:v>Select</x:v>
      </x:c>
      <x:c r="D22" s="36" t="str">
        <x:v>Win, Inconclusive, Loss</x:v>
      </x:c>
      <x:c r="E22" s="36" t="str">
        <x:v>Decision support</x:v>
      </x:c>
      <x:c r="F22" s="36" t="str">
        <x:v>Table</x:v>
      </x:c>
      <x:c r="G22" s="36" t="str">
        <x:v>Weekly</x:v>
      </x:c>
      <x:c r="H22" s="36" t="str">
        <x:v>Growth Manager</x:v>
      </x:c>
      <x:c r="I22" s="36" t="str"/>
    </x:row>
    <x:row r="23">
      <x:c r="A23" s="36" t="str">
        <x:v>VIP Community CRM</x:v>
      </x:c>
      <x:c r="B23" s="36" t="str">
        <x:v>Account</x:v>
      </x:c>
      <x:c r="C23" s="36" t="str">
        <x:v>Text</x:v>
      </x:c>
      <x:c r="D23" s="36" t="str">
        <x:v>Instagram handle</x:v>
      </x:c>
      <x:c r="E23" s="36" t="str">
        <x:v>Relationship map</x:v>
      </x:c>
      <x:c r="F23" s="36" t="str">
        <x:v>VIP List</x:v>
      </x:c>
      <x:c r="G23" s="36" t="str">
        <x:v>Weekly</x:v>
      </x:c>
      <x:c r="H23" s="36" t="str">
        <x:v>Growth Manager</x:v>
      </x:c>
      <x:c r="I23" s="36" t="str"/>
    </x:row>
    <x:row r="24">
      <x:c r="A24" s="36" t="str">
        <x:v>VIP Community CRM</x:v>
      </x:c>
      <x:c r="B24" s="36" t="str">
        <x:v>Segment</x:v>
      </x:c>
      <x:c r="C24" s="36" t="str">
        <x:v>Select</x:v>
      </x:c>
      <x:c r="D24" s="36" t="str">
        <x:v>Customer, Stylist, Editor, Creator, Bridal, Retail, Press</x:v>
      </x:c>
      <x:c r="E24" s="36" t="str">
        <x:v>Prioritization</x:v>
      </x:c>
      <x:c r="F24" s="36" t="str">
        <x:v>VIP List</x:v>
      </x:c>
      <x:c r="G24" s="36" t="str">
        <x:v>Weekly</x:v>
      </x:c>
      <x:c r="H24" s="36" t="str">
        <x:v>Growth Manager</x:v>
      </x:c>
      <x:c r="I24" s="36" t="str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7.78000020980835" hidden="0" customWidth="1"/>
    <x:col min="3" max="3" width="10" hidden="0" customWidth="1"/>
    <x:col min="4" max="4" width="10" hidden="0" customWidth="1"/>
    <x:col min="5" max="5" width="11.670000076293945" hidden="0" customWidth="1"/>
    <x:col min="6" max="6" width="11.670000076293945" hidden="0" customWidth="1"/>
    <x:col min="7" max="7" width="12.779999732971191" hidden="0" customWidth="1"/>
    <x:col min="8" max="8" width="10" hidden="0" customWidth="1"/>
    <x:col min="9" max="9" width="13.329999923706055" hidden="0" customWidth="1"/>
    <x:col min="10" max="10" width="12.779999732971191" hidden="0" customWidth="1"/>
    <x:col min="11" max="11" width="9.4399995803833" hidden="0" customWidth="1"/>
    <x:col min="12" max="12" width="12.220000267028809" hidden="0" customWidth="1"/>
    <x:col min="13" max="13" width="10.5600004196167" hidden="0" customWidth="1"/>
    <x:col min="14" max="14" width="13.890000343322754" hidden="0" customWidth="1"/>
    <x:col min="15" max="15" width="10.5600004196167" hidden="0" customWidth="1"/>
    <x:col min="16" max="16" width="13.329999923706055" hidden="0" customWidth="1"/>
    <x:col min="17" max="17" width="28.889999389648438" hidden="0" customWidth="1"/>
  </x:cols>
  <x:sheetData>
    <x:row r="1">
      <x:c r="A1" s="33" t="str">
        <x:v>ASTRA STYLIX Daily KPI Tracker</x:v>
      </x:c>
      <x:c r="B1" s="33" t="str">
        <x:v>ASTRA STYLIX Daily KPI Tracker</x:v>
      </x:c>
      <x:c r="C1" s="33" t="str">
        <x:v>ASTRA STYLIX Daily KPI Tracker</x:v>
      </x:c>
      <x:c r="D1" s="33" t="str">
        <x:v>ASTRA STYLIX Daily KPI Tracker</x:v>
      </x:c>
      <x:c r="E1" s="33" t="str">
        <x:v>ASTRA STYLIX Daily KPI Tracker</x:v>
      </x:c>
      <x:c r="F1" s="33" t="str">
        <x:v>ASTRA STYLIX Daily KPI Tracker</x:v>
      </x:c>
      <x:c r="G1" s="33" t="str">
        <x:v>ASTRA STYLIX Daily KPI Tracker</x:v>
      </x:c>
      <x:c r="H1" s="33" t="str">
        <x:v>ASTRA STYLIX Daily KPI Tracker</x:v>
      </x:c>
      <x:c r="I1" s="33" t="str">
        <x:v>ASTRA STYLIX Daily KPI Tracker</x:v>
      </x:c>
      <x:c r="J1" s="33" t="str">
        <x:v>ASTRA STYLIX Daily KPI Tracker</x:v>
      </x:c>
      <x:c r="K1" s="33" t="str">
        <x:v>ASTRA STYLIX Daily KPI Tracker</x:v>
      </x:c>
      <x:c r="L1" s="33" t="str">
        <x:v>ASTRA STYLIX Daily KPI Tracker</x:v>
      </x:c>
      <x:c r="M1" s="33" t="str">
        <x:v>ASTRA STYLIX Daily KPI Tracker</x:v>
      </x:c>
      <x:c r="N1" s="33" t="str">
        <x:v>ASTRA STYLIX Daily KPI Tracker</x:v>
      </x:c>
      <x:c r="O1" s="33" t="str">
        <x:v>ASTRA STYLIX Daily KPI Tracker</x:v>
      </x:c>
      <x:c r="P1" s="33" t="str">
        <x:v>ASTRA STYLIX Daily KPI Tracker</x:v>
      </x:c>
      <x:c r="Q1" s="33" t="str">
        <x:v>ASTRA STYLIX Daily KPI Tracker</x:v>
      </x:c>
    </x:row>
    <x:row r="2">
      <x:c r="A2" s="34" t="str">
        <x:v>Enter daily metrics here. Dashboard, weekly, and monthly summaries calculate from this sheet.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</x:row>
    <x:row r="4">
      <x:c r="A4" s="31" t="str">
        <x:v>Date</x:v>
      </x:c>
      <x:c r="B4" s="31" t="str">
        <x:v>Day</x:v>
      </x:c>
      <x:c r="C4" s="31" t="str">
        <x:v>AM Done</x:v>
      </x:c>
      <x:c r="D4" s="31" t="str">
        <x:v>PM Done</x:v>
      </x:c>
      <x:c r="E4" s="31" t="str">
        <x:v>Followers</x:v>
      </x:c>
      <x:c r="F4" s="31" t="str">
        <x:v>Reach</x:v>
      </x:c>
      <x:c r="G4" s="31" t="str">
        <x:v>Reel Views</x:v>
      </x:c>
      <x:c r="H4" s="31" t="str">
        <x:v>Saves</x:v>
      </x:c>
      <x:c r="I4" s="31" t="str">
        <x:v>Profile Visits</x:v>
      </x:c>
      <x:c r="J4" s="31" t="str">
        <x:v>Website Clicks</x:v>
      </x:c>
      <x:c r="K4" s="31" t="str">
        <x:v>Orders</x:v>
      </x:c>
      <x:c r="L4" s="31" t="str">
        <x:v>New Followers</x:v>
      </x:c>
      <x:c r="M4" s="31" t="str">
        <x:v>Save Rate</x:v>
      </x:c>
      <x:c r="N4" s="31" t="str">
        <x:v>Profile Visit Rate</x:v>
      </x:c>
      <x:c r="O4" s="31" t="str">
        <x:v>Website CTR</x:v>
      </x:c>
      <x:c r="P4" s="31" t="str">
        <x:v>Order Conversion</x:v>
      </x:c>
      <x:c r="Q4" s="31" t="str">
        <x:v>Notes</x:v>
      </x:c>
    </x:row>
    <x:row r="5">
      <x:c r="A5" s="36" t="str">
        <x:v>2026-06-07</x:v>
      </x:c>
      <x:c r="B5" s="36" t="str">
        <x:f>TEXT(A5,"ddd")</x:f>
        <x:v>2026-06-07</x:v>
      </x:c>
      <x:c r="C5" s="36" t="str"/>
      <x:c r="D5" s="36" t="str"/>
      <x:c r="E5" s="36" t="str"/>
      <x:c r="F5" s="36" t="str"/>
      <x:c r="G5" s="36" t="str"/>
      <x:c r="H5" s="36" t="str"/>
      <x:c r="I5" s="36" t="str"/>
      <x:c r="J5" s="36" t="str"/>
      <x:c r="K5" s="36" t="str"/>
      <x:c r="L5" s="36" t="str">
        <x:f>IF(E5="","",E5-IFERROR(LOOKUP(2,1/($E$5:E4&lt;&gt;""),$E$5:E4),E5))</x:f>
      </x:c>
      <x:c r="M5" s="36" t="str">
        <x:f>IFERROR(H5/G5,"")</x:f>
      </x:c>
      <x:c r="N5" s="36" t="str">
        <x:f>IFERROR(I5/F5,"")</x:f>
      </x:c>
      <x:c r="O5" s="36" t="str">
        <x:f>IFERROR(J5/I5,"")</x:f>
      </x:c>
      <x:c r="P5" s="36" t="str">
        <x:f>IFERROR(K5/J5,"")</x:f>
      </x:c>
      <x:c r="Q5" s="36" t="str"/>
    </x:row>
    <x:row r="6">
      <x:c r="A6" s="36" t="str">
        <x:v>2026-06-08</x:v>
      </x:c>
      <x:c r="B6" s="36" t="str">
        <x:f>TEXT(A6,"ddd")</x:f>
        <x:v>2026-06-08</x:v>
      </x:c>
      <x:c r="C6" s="36" t="str"/>
      <x:c r="D6" s="36" t="str"/>
      <x:c r="E6" s="36" t="str"/>
      <x:c r="F6" s="36" t="str"/>
      <x:c r="G6" s="36" t="str"/>
      <x:c r="H6" s="36" t="str"/>
      <x:c r="I6" s="36" t="str"/>
      <x:c r="J6" s="36" t="str"/>
      <x:c r="K6" s="36" t="str"/>
      <x:c r="L6" s="36" t="str">
        <x:f>IF(E6="","",E6-IFERROR(LOOKUP(2,1/($E$5:E5&lt;&gt;""),$E$5:E5),E6))</x:f>
      </x:c>
      <x:c r="M6" s="36" t="str">
        <x:f>IFERROR(H6/G6,"")</x:f>
      </x:c>
      <x:c r="N6" s="36" t="str">
        <x:f>IFERROR(I6/F6,"")</x:f>
      </x:c>
      <x:c r="O6" s="36" t="str">
        <x:f>IFERROR(J6/I6,"")</x:f>
      </x:c>
      <x:c r="P6" s="36" t="str">
        <x:f>IFERROR(K6/J6,"")</x:f>
      </x:c>
      <x:c r="Q6" s="36" t="str"/>
    </x:row>
    <x:row r="7">
      <x:c r="A7" s="36" t="str">
        <x:v>2026-06-09</x:v>
      </x:c>
      <x:c r="B7" s="36" t="str">
        <x:f>TEXT(A7,"ddd")</x:f>
        <x:v>2026-06-09</x:v>
      </x:c>
      <x:c r="C7" s="36" t="str"/>
      <x:c r="D7" s="36" t="str"/>
      <x:c r="E7" s="36" t="str"/>
      <x:c r="F7" s="36" t="str"/>
      <x:c r="G7" s="36" t="str"/>
      <x:c r="H7" s="36" t="str"/>
      <x:c r="I7" s="36" t="str"/>
      <x:c r="J7" s="36" t="str"/>
      <x:c r="K7" s="36" t="str"/>
      <x:c r="L7" s="36" t="str">
        <x:f>IF(E7="","",E7-IFERROR(LOOKUP(2,1/($E$5:E6&lt;&gt;""),$E$5:E6),E7))</x:f>
      </x:c>
      <x:c r="M7" s="36" t="str">
        <x:f>IFERROR(H7/G7,"")</x:f>
      </x:c>
      <x:c r="N7" s="36" t="str">
        <x:f>IFERROR(I7/F7,"")</x:f>
      </x:c>
      <x:c r="O7" s="36" t="str">
        <x:f>IFERROR(J7/I7,"")</x:f>
      </x:c>
      <x:c r="P7" s="36" t="str">
        <x:f>IFERROR(K7/J7,"")</x:f>
      </x:c>
      <x:c r="Q7" s="36" t="str"/>
    </x:row>
    <x:row r="8">
      <x:c r="A8" s="36" t="str">
        <x:v>2026-06-10</x:v>
      </x:c>
      <x:c r="B8" s="36" t="str">
        <x:f>TEXT(A8,"ddd")</x:f>
        <x:v>2026-06-10</x:v>
      </x:c>
      <x:c r="C8" s="36" t="str"/>
      <x:c r="D8" s="36" t="str"/>
      <x:c r="E8" s="36" t="str"/>
      <x:c r="F8" s="36" t="str"/>
      <x:c r="G8" s="36" t="str"/>
      <x:c r="H8" s="36" t="str"/>
      <x:c r="I8" s="36" t="str"/>
      <x:c r="J8" s="36" t="str"/>
      <x:c r="K8" s="36" t="str"/>
      <x:c r="L8" s="36" t="str">
        <x:f>IF(E8="","",E8-IFERROR(LOOKUP(2,1/($E$5:E7&lt;&gt;""),$E$5:E7),E8))</x:f>
      </x:c>
      <x:c r="M8" s="36" t="str">
        <x:f>IFERROR(H8/G8,"")</x:f>
      </x:c>
      <x:c r="N8" s="36" t="str">
        <x:f>IFERROR(I8/F8,"")</x:f>
      </x:c>
      <x:c r="O8" s="36" t="str">
        <x:f>IFERROR(J8/I8,"")</x:f>
      </x:c>
      <x:c r="P8" s="36" t="str">
        <x:f>IFERROR(K8/J8,"")</x:f>
      </x:c>
      <x:c r="Q8" s="36" t="str"/>
    </x:row>
    <x:row r="9">
      <x:c r="A9" s="36" t="str">
        <x:v>2026-06-11</x:v>
      </x:c>
      <x:c r="B9" s="36" t="str">
        <x:f>TEXT(A9,"ddd")</x:f>
        <x:v>2026-06-11</x:v>
      </x:c>
      <x:c r="C9" s="36" t="str"/>
      <x:c r="D9" s="36" t="str"/>
      <x:c r="E9" s="36" t="str"/>
      <x:c r="F9" s="36" t="str"/>
      <x:c r="G9" s="36" t="str"/>
      <x:c r="H9" s="36" t="str"/>
      <x:c r="I9" s="36" t="str"/>
      <x:c r="J9" s="36" t="str"/>
      <x:c r="K9" s="36" t="str"/>
      <x:c r="L9" s="36" t="str">
        <x:f>IF(E9="","",E9-IFERROR(LOOKUP(2,1/($E$5:E8&lt;&gt;""),$E$5:E8),E9))</x:f>
      </x:c>
      <x:c r="M9" s="36" t="str">
        <x:f>IFERROR(H9/G9,"")</x:f>
      </x:c>
      <x:c r="N9" s="36" t="str">
        <x:f>IFERROR(I9/F9,"")</x:f>
      </x:c>
      <x:c r="O9" s="36" t="str">
        <x:f>IFERROR(J9/I9,"")</x:f>
      </x:c>
      <x:c r="P9" s="36" t="str">
        <x:f>IFERROR(K9/J9,"")</x:f>
      </x:c>
      <x:c r="Q9" s="36" t="str"/>
    </x:row>
    <x:row r="10">
      <x:c r="A10" s="36" t="str">
        <x:v>2026-06-12</x:v>
      </x:c>
      <x:c r="B10" s="36" t="str">
        <x:f>TEXT(A10,"ddd")</x:f>
        <x:v>2026-06-12</x:v>
      </x:c>
      <x:c r="C10" s="36" t="str"/>
      <x:c r="D10" s="36" t="str"/>
      <x:c r="E10" s="36" t="str"/>
      <x:c r="F10" s="36" t="str"/>
      <x:c r="G10" s="36" t="str"/>
      <x:c r="H10" s="36" t="str"/>
      <x:c r="I10" s="36" t="str"/>
      <x:c r="J10" s="36" t="str"/>
      <x:c r="K10" s="36" t="str"/>
      <x:c r="L10" s="36" t="str">
        <x:f>IF(E10="","",E10-IFERROR(LOOKUP(2,1/($E$5:E9&lt;&gt;""),$E$5:E9),E10))</x:f>
      </x:c>
      <x:c r="M10" s="36" t="str">
        <x:f>IFERROR(H10/G10,"")</x:f>
      </x:c>
      <x:c r="N10" s="36" t="str">
        <x:f>IFERROR(I10/F10,"")</x:f>
      </x:c>
      <x:c r="O10" s="36" t="str">
        <x:f>IFERROR(J10/I10,"")</x:f>
      </x:c>
      <x:c r="P10" s="36" t="str">
        <x:f>IFERROR(K10/J10,"")</x:f>
      </x:c>
      <x:c r="Q10" s="36" t="str"/>
    </x:row>
    <x:row r="11">
      <x:c r="A11" s="36" t="str">
        <x:v>2026-06-13</x:v>
      </x:c>
      <x:c r="B11" s="36" t="str">
        <x:f>TEXT(A11,"ddd")</x:f>
        <x:v>2026-06-13</x:v>
      </x:c>
      <x:c r="C11" s="36" t="str"/>
      <x:c r="D11" s="36" t="str"/>
      <x:c r="E11" s="36" t="str"/>
      <x:c r="F11" s="36" t="str"/>
      <x:c r="G11" s="36" t="str"/>
      <x:c r="H11" s="36" t="str"/>
      <x:c r="I11" s="36" t="str"/>
      <x:c r="J11" s="36" t="str"/>
      <x:c r="K11" s="36" t="str"/>
      <x:c r="L11" s="36" t="str">
        <x:f>IF(E11="","",E11-IFERROR(LOOKUP(2,1/($E$5:E10&lt;&gt;""),$E$5:E10),E11))</x:f>
      </x:c>
      <x:c r="M11" s="36" t="str">
        <x:f>IFERROR(H11/G11,"")</x:f>
      </x:c>
      <x:c r="N11" s="36" t="str">
        <x:f>IFERROR(I11/F11,"")</x:f>
      </x:c>
      <x:c r="O11" s="36" t="str">
        <x:f>IFERROR(J11/I11,"")</x:f>
      </x:c>
      <x:c r="P11" s="36" t="str">
        <x:f>IFERROR(K11/J11,"")</x:f>
      </x:c>
      <x:c r="Q11" s="36" t="str"/>
    </x:row>
    <x:row r="12">
      <x:c r="A12" s="36" t="str">
        <x:v>2026-06-14</x:v>
      </x:c>
      <x:c r="B12" s="36" t="str">
        <x:f>TEXT(A12,"ddd")</x:f>
        <x:v>2026-06-14</x:v>
      </x:c>
      <x:c r="C12" s="36" t="str"/>
      <x:c r="D12" s="36" t="str"/>
      <x:c r="E12" s="36" t="str"/>
      <x:c r="F12" s="36" t="str"/>
      <x:c r="G12" s="36" t="str"/>
      <x:c r="H12" s="36" t="str"/>
      <x:c r="I12" s="36" t="str"/>
      <x:c r="J12" s="36" t="str"/>
      <x:c r="K12" s="36" t="str"/>
      <x:c r="L12" s="36" t="str">
        <x:f>IF(E12="","",E12-IFERROR(LOOKUP(2,1/($E$5:E11&lt;&gt;""),$E$5:E11),E12))</x:f>
      </x:c>
      <x:c r="M12" s="36" t="str">
        <x:f>IFERROR(H12/G12,"")</x:f>
      </x:c>
      <x:c r="N12" s="36" t="str">
        <x:f>IFERROR(I12/F12,"")</x:f>
      </x:c>
      <x:c r="O12" s="36" t="str">
        <x:f>IFERROR(J12/I12,"")</x:f>
      </x:c>
      <x:c r="P12" s="36" t="str">
        <x:f>IFERROR(K12/J12,"")</x:f>
      </x:c>
      <x:c r="Q12" s="36" t="str"/>
    </x:row>
    <x:row r="13">
      <x:c r="A13" s="36" t="str">
        <x:v>2026-06-15</x:v>
      </x:c>
      <x:c r="B13" s="36" t="str">
        <x:f>TEXT(A13,"ddd")</x:f>
        <x:v>2026-06-15</x:v>
      </x:c>
      <x:c r="C13" s="36" t="str"/>
      <x:c r="D13" s="36" t="str"/>
      <x:c r="E13" s="36" t="str"/>
      <x:c r="F13" s="36" t="str"/>
      <x:c r="G13" s="36" t="str"/>
      <x:c r="H13" s="36" t="str"/>
      <x:c r="I13" s="36" t="str"/>
      <x:c r="J13" s="36" t="str"/>
      <x:c r="K13" s="36" t="str"/>
      <x:c r="L13" s="36" t="str">
        <x:f>IF(E13="","",E13-IFERROR(LOOKUP(2,1/($E$5:E12&lt;&gt;""),$E$5:E12),E13))</x:f>
      </x:c>
      <x:c r="M13" s="36" t="str">
        <x:f>IFERROR(H13/G13,"")</x:f>
      </x:c>
      <x:c r="N13" s="36" t="str">
        <x:f>IFERROR(I13/F13,"")</x:f>
      </x:c>
      <x:c r="O13" s="36" t="str">
        <x:f>IFERROR(J13/I13,"")</x:f>
      </x:c>
      <x:c r="P13" s="36" t="str">
        <x:f>IFERROR(K13/J13,"")</x:f>
      </x:c>
      <x:c r="Q13" s="36" t="str"/>
    </x:row>
    <x:row r="14">
      <x:c r="A14" s="36" t="str">
        <x:v>2026-06-16</x:v>
      </x:c>
      <x:c r="B14" s="36" t="str">
        <x:f>TEXT(A14,"ddd")</x:f>
        <x:v>2026-06-16</x:v>
      </x:c>
      <x:c r="C14" s="36" t="str"/>
      <x:c r="D14" s="36" t="str"/>
      <x:c r="E14" s="36" t="str"/>
      <x:c r="F14" s="36" t="str"/>
      <x:c r="G14" s="36" t="str"/>
      <x:c r="H14" s="36" t="str"/>
      <x:c r="I14" s="36" t="str"/>
      <x:c r="J14" s="36" t="str"/>
      <x:c r="K14" s="36" t="str"/>
      <x:c r="L14" s="36" t="str">
        <x:f>IF(E14="","",E14-IFERROR(LOOKUP(2,1/($E$5:E13&lt;&gt;""),$E$5:E13),E14))</x:f>
      </x:c>
      <x:c r="M14" s="36" t="str">
        <x:f>IFERROR(H14/G14,"")</x:f>
      </x:c>
      <x:c r="N14" s="36" t="str">
        <x:f>IFERROR(I14/F14,"")</x:f>
      </x:c>
      <x:c r="O14" s="36" t="str">
        <x:f>IFERROR(J14/I14,"")</x:f>
      </x:c>
      <x:c r="P14" s="36" t="str">
        <x:f>IFERROR(K14/J14,"")</x:f>
      </x:c>
      <x:c r="Q14" s="36" t="str"/>
    </x:row>
    <x:row r="15">
      <x:c r="A15" s="36" t="str">
        <x:v>2026-06-17</x:v>
      </x:c>
      <x:c r="B15" s="36" t="str">
        <x:f>TEXT(A15,"ddd")</x:f>
        <x:v>2026-06-17</x:v>
      </x:c>
      <x:c r="C15" s="36" t="str"/>
      <x:c r="D15" s="36" t="str"/>
      <x:c r="E15" s="36" t="str"/>
      <x:c r="F15" s="36" t="str"/>
      <x:c r="G15" s="36" t="str"/>
      <x:c r="H15" s="36" t="str"/>
      <x:c r="I15" s="36" t="str"/>
      <x:c r="J15" s="36" t="str"/>
      <x:c r="K15" s="36" t="str"/>
      <x:c r="L15" s="36" t="str">
        <x:f>IF(E15="","",E15-IFERROR(LOOKUP(2,1/($E$5:E14&lt;&gt;""),$E$5:E14),E15))</x:f>
      </x:c>
      <x:c r="M15" s="36" t="str">
        <x:f>IFERROR(H15/G15,"")</x:f>
      </x:c>
      <x:c r="N15" s="36" t="str">
        <x:f>IFERROR(I15/F15,"")</x:f>
      </x:c>
      <x:c r="O15" s="36" t="str">
        <x:f>IFERROR(J15/I15,"")</x:f>
      </x:c>
      <x:c r="P15" s="36" t="str">
        <x:f>IFERROR(K15/J15,"")</x:f>
      </x:c>
      <x:c r="Q15" s="36" t="str"/>
    </x:row>
    <x:row r="16">
      <x:c r="A16" s="36" t="str">
        <x:v>2026-06-18</x:v>
      </x:c>
      <x:c r="B16" s="36" t="str">
        <x:f>TEXT(A16,"ddd")</x:f>
        <x:v>2026-06-18</x:v>
      </x:c>
      <x:c r="C16" s="36" t="str"/>
      <x:c r="D16" s="36" t="str"/>
      <x:c r="E16" s="36" t="str"/>
      <x:c r="F16" s="36" t="str"/>
      <x:c r="G16" s="36" t="str"/>
      <x:c r="H16" s="36" t="str"/>
      <x:c r="I16" s="36" t="str"/>
      <x:c r="J16" s="36" t="str"/>
      <x:c r="K16" s="36" t="str"/>
      <x:c r="L16" s="36" t="str">
        <x:f>IF(E16="","",E16-IFERROR(LOOKUP(2,1/($E$5:E15&lt;&gt;""),$E$5:E15),E16))</x:f>
      </x:c>
      <x:c r="M16" s="36" t="str">
        <x:f>IFERROR(H16/G16,"")</x:f>
      </x:c>
      <x:c r="N16" s="36" t="str">
        <x:f>IFERROR(I16/F16,"")</x:f>
      </x:c>
      <x:c r="O16" s="36" t="str">
        <x:f>IFERROR(J16/I16,"")</x:f>
      </x:c>
      <x:c r="P16" s="36" t="str">
        <x:f>IFERROR(K16/J16,"")</x:f>
      </x:c>
      <x:c r="Q16" s="36" t="str"/>
    </x:row>
    <x:row r="17">
      <x:c r="A17" s="36" t="str">
        <x:v>2026-06-19</x:v>
      </x:c>
      <x:c r="B17" s="36" t="str">
        <x:f>TEXT(A17,"ddd")</x:f>
        <x:v>2026-06-19</x:v>
      </x:c>
      <x:c r="C17" s="36" t="str"/>
      <x:c r="D17" s="36" t="str"/>
      <x:c r="E17" s="36" t="str"/>
      <x:c r="F17" s="36" t="str"/>
      <x:c r="G17" s="36" t="str"/>
      <x:c r="H17" s="36" t="str"/>
      <x:c r="I17" s="36" t="str"/>
      <x:c r="J17" s="36" t="str"/>
      <x:c r="K17" s="36" t="str"/>
      <x:c r="L17" s="36" t="str">
        <x:f>IF(E17="","",E17-IFERROR(LOOKUP(2,1/($E$5:E16&lt;&gt;""),$E$5:E16),E17))</x:f>
      </x:c>
      <x:c r="M17" s="36" t="str">
        <x:f>IFERROR(H17/G17,"")</x:f>
      </x:c>
      <x:c r="N17" s="36" t="str">
        <x:f>IFERROR(I17/F17,"")</x:f>
      </x:c>
      <x:c r="O17" s="36" t="str">
        <x:f>IFERROR(J17/I17,"")</x:f>
      </x:c>
      <x:c r="P17" s="36" t="str">
        <x:f>IFERROR(K17/J17,"")</x:f>
      </x:c>
      <x:c r="Q17" s="36" t="str"/>
    </x:row>
    <x:row r="18">
      <x:c r="A18" s="36" t="str">
        <x:v>2026-06-20</x:v>
      </x:c>
      <x:c r="B18" s="36" t="str">
        <x:f>TEXT(A18,"ddd")</x:f>
        <x:v>2026-06-20</x:v>
      </x:c>
      <x:c r="C18" s="36" t="str"/>
      <x:c r="D18" s="36" t="str"/>
      <x:c r="E18" s="36" t="str"/>
      <x:c r="F18" s="36" t="str"/>
      <x:c r="G18" s="36" t="str"/>
      <x:c r="H18" s="36" t="str"/>
      <x:c r="I18" s="36" t="str"/>
      <x:c r="J18" s="36" t="str"/>
      <x:c r="K18" s="36" t="str"/>
      <x:c r="L18" s="36" t="str">
        <x:f>IF(E18="","",E18-IFERROR(LOOKUP(2,1/($E$5:E17&lt;&gt;""),$E$5:E17),E18))</x:f>
      </x:c>
      <x:c r="M18" s="36" t="str">
        <x:f>IFERROR(H18/G18,"")</x:f>
      </x:c>
      <x:c r="N18" s="36" t="str">
        <x:f>IFERROR(I18/F18,"")</x:f>
      </x:c>
      <x:c r="O18" s="36" t="str">
        <x:f>IFERROR(J18/I18,"")</x:f>
      </x:c>
      <x:c r="P18" s="36" t="str">
        <x:f>IFERROR(K18/J18,"")</x:f>
      </x:c>
      <x:c r="Q18" s="36" t="str"/>
    </x:row>
    <x:row r="19">
      <x:c r="A19" s="36" t="str">
        <x:v>2026-06-21</x:v>
      </x:c>
      <x:c r="B19" s="36" t="str">
        <x:f>TEXT(A19,"ddd")</x:f>
        <x:v>2026-06-21</x:v>
      </x:c>
      <x:c r="C19" s="36" t="str"/>
      <x:c r="D19" s="36" t="str"/>
      <x:c r="E19" s="36" t="str"/>
      <x:c r="F19" s="36" t="str"/>
      <x:c r="G19" s="36" t="str"/>
      <x:c r="H19" s="36" t="str"/>
      <x:c r="I19" s="36" t="str"/>
      <x:c r="J19" s="36" t="str"/>
      <x:c r="K19" s="36" t="str"/>
      <x:c r="L19" s="36" t="str">
        <x:f>IF(E19="","",E19-IFERROR(LOOKUP(2,1/($E$5:E18&lt;&gt;""),$E$5:E18),E19))</x:f>
      </x:c>
      <x:c r="M19" s="36" t="str">
        <x:f>IFERROR(H19/G19,"")</x:f>
      </x:c>
      <x:c r="N19" s="36" t="str">
        <x:f>IFERROR(I19/F19,"")</x:f>
      </x:c>
      <x:c r="O19" s="36" t="str">
        <x:f>IFERROR(J19/I19,"")</x:f>
      </x:c>
      <x:c r="P19" s="36" t="str">
        <x:f>IFERROR(K19/J19,"")</x:f>
      </x:c>
      <x:c r="Q19" s="36" t="str"/>
    </x:row>
    <x:row r="20">
      <x:c r="A20" s="36" t="str">
        <x:v>2026-06-22</x:v>
      </x:c>
      <x:c r="B20" s="36" t="str">
        <x:f>TEXT(A20,"ddd")</x:f>
        <x:v>2026-06-22</x:v>
      </x:c>
      <x:c r="C20" s="36" t="str"/>
      <x:c r="D20" s="36" t="str"/>
      <x:c r="E20" s="36" t="str"/>
      <x:c r="F20" s="36" t="str"/>
      <x:c r="G20" s="36" t="str"/>
      <x:c r="H20" s="36" t="str"/>
      <x:c r="I20" s="36" t="str"/>
      <x:c r="J20" s="36" t="str"/>
      <x:c r="K20" s="36" t="str"/>
      <x:c r="L20" s="36" t="str">
        <x:f>IF(E20="","",E20-IFERROR(LOOKUP(2,1/($E$5:E19&lt;&gt;""),$E$5:E19),E20))</x:f>
      </x:c>
      <x:c r="M20" s="36" t="str">
        <x:f>IFERROR(H20/G20,"")</x:f>
      </x:c>
      <x:c r="N20" s="36" t="str">
        <x:f>IFERROR(I20/F20,"")</x:f>
      </x:c>
      <x:c r="O20" s="36" t="str">
        <x:f>IFERROR(J20/I20,"")</x:f>
      </x:c>
      <x:c r="P20" s="36" t="str">
        <x:f>IFERROR(K20/J20,"")</x:f>
      </x:c>
      <x:c r="Q20" s="36" t="str"/>
    </x:row>
    <x:row r="21">
      <x:c r="A21" s="36" t="str">
        <x:v>2026-06-23</x:v>
      </x:c>
      <x:c r="B21" s="36" t="str">
        <x:f>TEXT(A21,"ddd")</x:f>
        <x:v>2026-06-23</x:v>
      </x:c>
      <x:c r="C21" s="36" t="str"/>
      <x:c r="D21" s="36" t="str"/>
      <x:c r="E21" s="36" t="str"/>
      <x:c r="F21" s="36" t="str"/>
      <x:c r="G21" s="36" t="str"/>
      <x:c r="H21" s="36" t="str"/>
      <x:c r="I21" s="36" t="str"/>
      <x:c r="J21" s="36" t="str"/>
      <x:c r="K21" s="36" t="str"/>
      <x:c r="L21" s="36" t="str">
        <x:f>IF(E21="","",E21-IFERROR(LOOKUP(2,1/($E$5:E20&lt;&gt;""),$E$5:E20),E21))</x:f>
      </x:c>
      <x:c r="M21" s="36" t="str">
        <x:f>IFERROR(H21/G21,"")</x:f>
      </x:c>
      <x:c r="N21" s="36" t="str">
        <x:f>IFERROR(I21/F21,"")</x:f>
      </x:c>
      <x:c r="O21" s="36" t="str">
        <x:f>IFERROR(J21/I21,"")</x:f>
      </x:c>
      <x:c r="P21" s="36" t="str">
        <x:f>IFERROR(K21/J21,"")</x:f>
      </x:c>
      <x:c r="Q21" s="36" t="str"/>
    </x:row>
    <x:row r="22">
      <x:c r="A22" s="36" t="str">
        <x:v>2026-06-24</x:v>
      </x:c>
      <x:c r="B22" s="36" t="str">
        <x:f>TEXT(A22,"ddd")</x:f>
        <x:v>2026-06-24</x:v>
      </x:c>
      <x:c r="C22" s="36" t="str"/>
      <x:c r="D22" s="36" t="str"/>
      <x:c r="E22" s="36" t="str"/>
      <x:c r="F22" s="36" t="str"/>
      <x:c r="G22" s="36" t="str"/>
      <x:c r="H22" s="36" t="str"/>
      <x:c r="I22" s="36" t="str"/>
      <x:c r="J22" s="36" t="str"/>
      <x:c r="K22" s="36" t="str"/>
      <x:c r="L22" s="36" t="str">
        <x:f>IF(E22="","",E22-IFERROR(LOOKUP(2,1/($E$5:E21&lt;&gt;""),$E$5:E21),E22))</x:f>
      </x:c>
      <x:c r="M22" s="36" t="str">
        <x:f>IFERROR(H22/G22,"")</x:f>
      </x:c>
      <x:c r="N22" s="36" t="str">
        <x:f>IFERROR(I22/F22,"")</x:f>
      </x:c>
      <x:c r="O22" s="36" t="str">
        <x:f>IFERROR(J22/I22,"")</x:f>
      </x:c>
      <x:c r="P22" s="36" t="str">
        <x:f>IFERROR(K22/J22,"")</x:f>
      </x:c>
      <x:c r="Q22" s="36" t="str"/>
    </x:row>
    <x:row r="23">
      <x:c r="A23" s="36" t="str">
        <x:v>2026-06-25</x:v>
      </x:c>
      <x:c r="B23" s="36" t="str">
        <x:f>TEXT(A23,"ddd")</x:f>
        <x:v>2026-06-25</x:v>
      </x:c>
      <x:c r="C23" s="36" t="str"/>
      <x:c r="D23" s="36" t="str"/>
      <x:c r="E23" s="36" t="str"/>
      <x:c r="F23" s="36" t="str"/>
      <x:c r="G23" s="36" t="str"/>
      <x:c r="H23" s="36" t="str"/>
      <x:c r="I23" s="36" t="str"/>
      <x:c r="J23" s="36" t="str"/>
      <x:c r="K23" s="36" t="str"/>
      <x:c r="L23" s="36" t="str">
        <x:f>IF(E23="","",E23-IFERROR(LOOKUP(2,1/($E$5:E22&lt;&gt;""),$E$5:E22),E23))</x:f>
      </x:c>
      <x:c r="M23" s="36" t="str">
        <x:f>IFERROR(H23/G23,"")</x:f>
      </x:c>
      <x:c r="N23" s="36" t="str">
        <x:f>IFERROR(I23/F23,"")</x:f>
      </x:c>
      <x:c r="O23" s="36" t="str">
        <x:f>IFERROR(J23/I23,"")</x:f>
      </x:c>
      <x:c r="P23" s="36" t="str">
        <x:f>IFERROR(K23/J23,"")</x:f>
      </x:c>
      <x:c r="Q23" s="36" t="str"/>
    </x:row>
    <x:row r="24">
      <x:c r="A24" s="36" t="str">
        <x:v>2026-06-26</x:v>
      </x:c>
      <x:c r="B24" s="36" t="str">
        <x:f>TEXT(A24,"ddd")</x:f>
        <x:v>2026-06-26</x:v>
      </x:c>
      <x:c r="C24" s="36" t="str"/>
      <x:c r="D24" s="36" t="str"/>
      <x:c r="E24" s="36" t="str"/>
      <x:c r="F24" s="36" t="str"/>
      <x:c r="G24" s="36" t="str"/>
      <x:c r="H24" s="36" t="str"/>
      <x:c r="I24" s="36" t="str"/>
      <x:c r="J24" s="36" t="str"/>
      <x:c r="K24" s="36" t="str"/>
      <x:c r="L24" s="36" t="str">
        <x:f>IF(E24="","",E24-IFERROR(LOOKUP(2,1/($E$5:E23&lt;&gt;""),$E$5:E23),E24))</x:f>
      </x:c>
      <x:c r="M24" s="36" t="str">
        <x:f>IFERROR(H24/G24,"")</x:f>
      </x:c>
      <x:c r="N24" s="36" t="str">
        <x:f>IFERROR(I24/F24,"")</x:f>
      </x:c>
      <x:c r="O24" s="36" t="str">
        <x:f>IFERROR(J24/I24,"")</x:f>
      </x:c>
      <x:c r="P24" s="36" t="str">
        <x:f>IFERROR(K24/J24,"")</x:f>
      </x:c>
      <x:c r="Q24" s="36" t="str"/>
    </x:row>
    <x:row r="25">
      <x:c r="A25" s="36" t="str">
        <x:v>2026-06-27</x:v>
      </x:c>
      <x:c r="B25" s="36" t="str">
        <x:f>TEXT(A25,"ddd")</x:f>
        <x:v>2026-06-27</x:v>
      </x:c>
      <x:c r="C25" s="36" t="str"/>
      <x:c r="D25" s="36" t="str"/>
      <x:c r="E25" s="36" t="str"/>
      <x:c r="F25" s="36" t="str"/>
      <x:c r="G25" s="36" t="str"/>
      <x:c r="H25" s="36" t="str"/>
      <x:c r="I25" s="36" t="str"/>
      <x:c r="J25" s="36" t="str"/>
      <x:c r="K25" s="36" t="str"/>
      <x:c r="L25" s="36" t="str">
        <x:f>IF(E25="","",E25-IFERROR(LOOKUP(2,1/($E$5:E24&lt;&gt;""),$E$5:E24),E25))</x:f>
      </x:c>
      <x:c r="M25" s="36" t="str">
        <x:f>IFERROR(H25/G25,"")</x:f>
      </x:c>
      <x:c r="N25" s="36" t="str">
        <x:f>IFERROR(I25/F25,"")</x:f>
      </x:c>
      <x:c r="O25" s="36" t="str">
        <x:f>IFERROR(J25/I25,"")</x:f>
      </x:c>
      <x:c r="P25" s="36" t="str">
        <x:f>IFERROR(K25/J25,"")</x:f>
      </x:c>
      <x:c r="Q25" s="36" t="str"/>
    </x:row>
    <x:row r="26">
      <x:c r="A26" s="36" t="str">
        <x:v>2026-06-28</x:v>
      </x:c>
      <x:c r="B26" s="36" t="str">
        <x:f>TEXT(A26,"ddd")</x:f>
        <x:v>2026-06-28</x:v>
      </x:c>
      <x:c r="C26" s="36" t="str"/>
      <x:c r="D26" s="36" t="str"/>
      <x:c r="E26" s="36" t="str"/>
      <x:c r="F26" s="36" t="str"/>
      <x:c r="G26" s="36" t="str"/>
      <x:c r="H26" s="36" t="str"/>
      <x:c r="I26" s="36" t="str"/>
      <x:c r="J26" s="36" t="str"/>
      <x:c r="K26" s="36" t="str"/>
      <x:c r="L26" s="36" t="str">
        <x:f>IF(E26="","",E26-IFERROR(LOOKUP(2,1/($E$5:E25&lt;&gt;""),$E$5:E25),E26))</x:f>
      </x:c>
      <x:c r="M26" s="36" t="str">
        <x:f>IFERROR(H26/G26,"")</x:f>
      </x:c>
      <x:c r="N26" s="36" t="str">
        <x:f>IFERROR(I26/F26,"")</x:f>
      </x:c>
      <x:c r="O26" s="36" t="str">
        <x:f>IFERROR(J26/I26,"")</x:f>
      </x:c>
      <x:c r="P26" s="36" t="str">
        <x:f>IFERROR(K26/J26,"")</x:f>
      </x:c>
      <x:c r="Q26" s="36" t="str"/>
    </x:row>
    <x:row r="27">
      <x:c r="A27" s="36" t="str">
        <x:v>2026-06-29</x:v>
      </x:c>
      <x:c r="B27" s="36" t="str">
        <x:f>TEXT(A27,"ddd")</x:f>
        <x:v>2026-06-29</x:v>
      </x:c>
      <x:c r="C27" s="36" t="str"/>
      <x:c r="D27" s="36" t="str"/>
      <x:c r="E27" s="36" t="str"/>
      <x:c r="F27" s="36" t="str"/>
      <x:c r="G27" s="36" t="str"/>
      <x:c r="H27" s="36" t="str"/>
      <x:c r="I27" s="36" t="str"/>
      <x:c r="J27" s="36" t="str"/>
      <x:c r="K27" s="36" t="str"/>
      <x:c r="L27" s="36" t="str">
        <x:f>IF(E27="","",E27-IFERROR(LOOKUP(2,1/($E$5:E26&lt;&gt;""),$E$5:E26),E27))</x:f>
      </x:c>
      <x:c r="M27" s="36" t="str">
        <x:f>IFERROR(H27/G27,"")</x:f>
      </x:c>
      <x:c r="N27" s="36" t="str">
        <x:f>IFERROR(I27/F27,"")</x:f>
      </x:c>
      <x:c r="O27" s="36" t="str">
        <x:f>IFERROR(J27/I27,"")</x:f>
      </x:c>
      <x:c r="P27" s="36" t="str">
        <x:f>IFERROR(K27/J27,"")</x:f>
      </x:c>
      <x:c r="Q27" s="36" t="str"/>
    </x:row>
    <x:row r="28">
      <x:c r="A28" s="36" t="str">
        <x:v>2026-06-30</x:v>
      </x:c>
      <x:c r="B28" s="36" t="str">
        <x:f>TEXT(A28,"ddd")</x:f>
        <x:v>2026-06-30</x:v>
      </x:c>
      <x:c r="C28" s="36" t="str"/>
      <x:c r="D28" s="36" t="str"/>
      <x:c r="E28" s="36" t="str"/>
      <x:c r="F28" s="36" t="str"/>
      <x:c r="G28" s="36" t="str"/>
      <x:c r="H28" s="36" t="str"/>
      <x:c r="I28" s="36" t="str"/>
      <x:c r="J28" s="36" t="str"/>
      <x:c r="K28" s="36" t="str"/>
      <x:c r="L28" s="36" t="str">
        <x:f>IF(E28="","",E28-IFERROR(LOOKUP(2,1/($E$5:E27&lt;&gt;""),$E$5:E27),E28))</x:f>
      </x:c>
      <x:c r="M28" s="36" t="str">
        <x:f>IFERROR(H28/G28,"")</x:f>
      </x:c>
      <x:c r="N28" s="36" t="str">
        <x:f>IFERROR(I28/F28,"")</x:f>
      </x:c>
      <x:c r="O28" s="36" t="str">
        <x:f>IFERROR(J28/I28,"")</x:f>
      </x:c>
      <x:c r="P28" s="36" t="str">
        <x:f>IFERROR(K28/J28,"")</x:f>
      </x:c>
      <x:c r="Q28" s="36" t="str"/>
    </x:row>
    <x:row r="29">
      <x:c r="A29" s="36" t="str">
        <x:v>2026-07-01</x:v>
      </x:c>
      <x:c r="B29" s="36" t="str">
        <x:f>TEXT(A29,"ddd")</x:f>
        <x:v>2026-07-01</x:v>
      </x:c>
      <x:c r="C29" s="36" t="str"/>
      <x:c r="D29" s="36" t="str"/>
      <x:c r="E29" s="36" t="str"/>
      <x:c r="F29" s="36" t="str"/>
      <x:c r="G29" s="36" t="str"/>
      <x:c r="H29" s="36" t="str"/>
      <x:c r="I29" s="36" t="str"/>
      <x:c r="J29" s="36" t="str"/>
      <x:c r="K29" s="36" t="str"/>
      <x:c r="L29" s="36" t="str">
        <x:f>IF(E29="","",E29-IFERROR(LOOKUP(2,1/($E$5:E28&lt;&gt;""),$E$5:E28),E29))</x:f>
      </x:c>
      <x:c r="M29" s="36" t="str">
        <x:f>IFERROR(H29/G29,"")</x:f>
      </x:c>
      <x:c r="N29" s="36" t="str">
        <x:f>IFERROR(I29/F29,"")</x:f>
      </x:c>
      <x:c r="O29" s="36" t="str">
        <x:f>IFERROR(J29/I29,"")</x:f>
      </x:c>
      <x:c r="P29" s="36" t="str">
        <x:f>IFERROR(K29/J29,"")</x:f>
      </x:c>
      <x:c r="Q29" s="36" t="str"/>
    </x:row>
    <x:row r="30">
      <x:c r="A30" s="36" t="str">
        <x:v>2026-07-02</x:v>
      </x:c>
      <x:c r="B30" s="36" t="str">
        <x:f>TEXT(A30,"ddd")</x:f>
        <x:v>2026-07-02</x:v>
      </x:c>
      <x:c r="C30" s="36" t="str"/>
      <x:c r="D30" s="36" t="str"/>
      <x:c r="E30" s="36" t="str"/>
      <x:c r="F30" s="36" t="str"/>
      <x:c r="G30" s="36" t="str"/>
      <x:c r="H30" s="36" t="str"/>
      <x:c r="I30" s="36" t="str"/>
      <x:c r="J30" s="36" t="str"/>
      <x:c r="K30" s="36" t="str"/>
      <x:c r="L30" s="36" t="str">
        <x:f>IF(E30="","",E30-IFERROR(LOOKUP(2,1/($E$5:E29&lt;&gt;""),$E$5:E29),E30))</x:f>
      </x:c>
      <x:c r="M30" s="36" t="str">
        <x:f>IFERROR(H30/G30,"")</x:f>
      </x:c>
      <x:c r="N30" s="36" t="str">
        <x:f>IFERROR(I30/F30,"")</x:f>
      </x:c>
      <x:c r="O30" s="36" t="str">
        <x:f>IFERROR(J30/I30,"")</x:f>
      </x:c>
      <x:c r="P30" s="36" t="str">
        <x:f>IFERROR(K30/J30,"")</x:f>
      </x:c>
      <x:c r="Q30" s="36" t="str"/>
    </x:row>
    <x:row r="31">
      <x:c r="A31" s="36" t="str">
        <x:v>2026-07-03</x:v>
      </x:c>
      <x:c r="B31" s="36" t="str">
        <x:f>TEXT(A31,"ddd")</x:f>
        <x:v>2026-07-03</x:v>
      </x:c>
      <x:c r="C31" s="36" t="str"/>
      <x:c r="D31" s="36" t="str"/>
      <x:c r="E31" s="36" t="str"/>
      <x:c r="F31" s="36" t="str"/>
      <x:c r="G31" s="36" t="str"/>
      <x:c r="H31" s="36" t="str"/>
      <x:c r="I31" s="36" t="str"/>
      <x:c r="J31" s="36" t="str"/>
      <x:c r="K31" s="36" t="str"/>
      <x:c r="L31" s="36" t="str">
        <x:f>IF(E31="","",E31-IFERROR(LOOKUP(2,1/($E$5:E30&lt;&gt;""),$E$5:E30),E31))</x:f>
      </x:c>
      <x:c r="M31" s="36" t="str">
        <x:f>IFERROR(H31/G31,"")</x:f>
      </x:c>
      <x:c r="N31" s="36" t="str">
        <x:f>IFERROR(I31/F31,"")</x:f>
      </x:c>
      <x:c r="O31" s="36" t="str">
        <x:f>IFERROR(J31/I31,"")</x:f>
      </x:c>
      <x:c r="P31" s="36" t="str">
        <x:f>IFERROR(K31/J31,"")</x:f>
      </x:c>
      <x:c r="Q31" s="36" t="str"/>
    </x:row>
    <x:row r="32">
      <x:c r="A32" s="36" t="str">
        <x:v>2026-07-04</x:v>
      </x:c>
      <x:c r="B32" s="36" t="str">
        <x:f>TEXT(A32,"ddd")</x:f>
        <x:v>2026-07-04</x:v>
      </x:c>
      <x:c r="C32" s="36" t="str"/>
      <x:c r="D32" s="36" t="str"/>
      <x:c r="E32" s="36" t="str"/>
      <x:c r="F32" s="36" t="str"/>
      <x:c r="G32" s="36" t="str"/>
      <x:c r="H32" s="36" t="str"/>
      <x:c r="I32" s="36" t="str"/>
      <x:c r="J32" s="36" t="str"/>
      <x:c r="K32" s="36" t="str"/>
      <x:c r="L32" s="36" t="str">
        <x:f>IF(E32="","",E32-IFERROR(LOOKUP(2,1/($E$5:E31&lt;&gt;""),$E$5:E31),E32))</x:f>
      </x:c>
      <x:c r="M32" s="36" t="str">
        <x:f>IFERROR(H32/G32,"")</x:f>
      </x:c>
      <x:c r="N32" s="36" t="str">
        <x:f>IFERROR(I32/F32,"")</x:f>
      </x:c>
      <x:c r="O32" s="36" t="str">
        <x:f>IFERROR(J32/I32,"")</x:f>
      </x:c>
      <x:c r="P32" s="36" t="str">
        <x:f>IFERROR(K32/J32,"")</x:f>
      </x:c>
      <x:c r="Q32" s="36" t="str"/>
    </x:row>
    <x:row r="33">
      <x:c r="A33" s="36" t="str">
        <x:v>2026-07-05</x:v>
      </x:c>
      <x:c r="B33" s="36" t="str">
        <x:f>TEXT(A33,"ddd")</x:f>
        <x:v>2026-07-05</x:v>
      </x:c>
      <x:c r="C33" s="36" t="str"/>
      <x:c r="D33" s="36" t="str"/>
      <x:c r="E33" s="36" t="str"/>
      <x:c r="F33" s="36" t="str"/>
      <x:c r="G33" s="36" t="str"/>
      <x:c r="H33" s="36" t="str"/>
      <x:c r="I33" s="36" t="str"/>
      <x:c r="J33" s="36" t="str"/>
      <x:c r="K33" s="36" t="str"/>
      <x:c r="L33" s="36" t="str">
        <x:f>IF(E33="","",E33-IFERROR(LOOKUP(2,1/($E$5:E32&lt;&gt;""),$E$5:E32),E33))</x:f>
      </x:c>
      <x:c r="M33" s="36" t="str">
        <x:f>IFERROR(H33/G33,"")</x:f>
      </x:c>
      <x:c r="N33" s="36" t="str">
        <x:f>IFERROR(I33/F33,"")</x:f>
      </x:c>
      <x:c r="O33" s="36" t="str">
        <x:f>IFERROR(J33/I33,"")</x:f>
      </x:c>
      <x:c r="P33" s="36" t="str">
        <x:f>IFERROR(K33/J33,"")</x:f>
      </x:c>
      <x:c r="Q33" s="36" t="str"/>
    </x:row>
    <x:row r="34">
      <x:c r="A34" s="36" t="str">
        <x:v>2026-07-06</x:v>
      </x:c>
      <x:c r="B34" s="36" t="str">
        <x:f>TEXT(A34,"ddd")</x:f>
        <x:v>2026-07-06</x:v>
      </x:c>
      <x:c r="C34" s="36" t="str"/>
      <x:c r="D34" s="36" t="str"/>
      <x:c r="E34" s="36" t="str"/>
      <x:c r="F34" s="36" t="str"/>
      <x:c r="G34" s="36" t="str"/>
      <x:c r="H34" s="36" t="str"/>
      <x:c r="I34" s="36" t="str"/>
      <x:c r="J34" s="36" t="str"/>
      <x:c r="K34" s="36" t="str"/>
      <x:c r="L34" s="36" t="str">
        <x:f>IF(E34="","",E34-IFERROR(LOOKUP(2,1/($E$5:E33&lt;&gt;""),$E$5:E33),E34))</x:f>
      </x:c>
      <x:c r="M34" s="36" t="str">
        <x:f>IFERROR(H34/G34,"")</x:f>
      </x:c>
      <x:c r="N34" s="36" t="str">
        <x:f>IFERROR(I34/F34,"")</x:f>
      </x:c>
      <x:c r="O34" s="36" t="str">
        <x:f>IFERROR(J34/I34,"")</x:f>
      </x:c>
      <x:c r="P34" s="36" t="str">
        <x:f>IFERROR(K34/J34,"")</x:f>
      </x:c>
      <x:c r="Q34" s="36" t="str"/>
    </x:row>
    <x:row r="35">
      <x:c r="A35" s="36" t="str">
        <x:v>2026-07-07</x:v>
      </x:c>
      <x:c r="B35" s="36" t="str">
        <x:f>TEXT(A35,"ddd")</x:f>
        <x:v>2026-07-07</x:v>
      </x:c>
      <x:c r="C35" s="36" t="str"/>
      <x:c r="D35" s="36" t="str"/>
      <x:c r="E35" s="36" t="str"/>
      <x:c r="F35" s="36" t="str"/>
      <x:c r="G35" s="36" t="str"/>
      <x:c r="H35" s="36" t="str"/>
      <x:c r="I35" s="36" t="str"/>
      <x:c r="J35" s="36" t="str"/>
      <x:c r="K35" s="36" t="str"/>
      <x:c r="L35" s="36" t="str">
        <x:f>IF(E35="","",E35-IFERROR(LOOKUP(2,1/($E$5:E34&lt;&gt;""),$E$5:E34),E35))</x:f>
      </x:c>
      <x:c r="M35" s="36" t="str">
        <x:f>IFERROR(H35/G35,"")</x:f>
      </x:c>
      <x:c r="N35" s="36" t="str">
        <x:f>IFERROR(I35/F35,"")</x:f>
      </x:c>
      <x:c r="O35" s="36" t="str">
        <x:f>IFERROR(J35/I35,"")</x:f>
      </x:c>
      <x:c r="P35" s="36" t="str">
        <x:f>IFERROR(K35/J35,"")</x:f>
      </x:c>
      <x:c r="Q35" s="36" t="str"/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11.670000076293945" hidden="0" customWidth="1"/>
    <x:col min="3" max="3" width="12.220000267028809" hidden="0" customWidth="1"/>
    <x:col min="4" max="4" width="12.779999732971191" hidden="0" customWidth="1"/>
    <x:col min="5" max="5" width="11.670000076293945" hidden="0" customWidth="1"/>
    <x:col min="6" max="6" width="12.779999732971191" hidden="0" customWidth="1"/>
    <x:col min="7" max="7" width="10" hidden="0" customWidth="1"/>
    <x:col min="8" max="8" width="13.329999923706055" hidden="0" customWidth="1"/>
    <x:col min="9" max="9" width="12.779999732971191" hidden="0" customWidth="1"/>
    <x:col min="10" max="10" width="9.4399995803833" hidden="0" customWidth="1"/>
    <x:col min="11" max="11" width="10" hidden="0" customWidth="1"/>
    <x:col min="12" max="12" width="10.5600004196167" hidden="0" customWidth="1"/>
    <x:col min="13" max="13" width="13.329999923706055" hidden="0" customWidth="1"/>
  </x:cols>
  <x:sheetData>
    <x:row r="1">
      <x:c r="A1" s="33" t="str">
        <x:v>Weekly KPI Summary</x:v>
      </x:c>
      <x:c r="B1" s="33" t="str">
        <x:v>Weekly KPI Summary</x:v>
      </x:c>
      <x:c r="C1" s="33" t="str">
        <x:v>Weekly KPI Summary</x:v>
      </x:c>
      <x:c r="D1" s="33" t="str">
        <x:v>Weekly KPI Summary</x:v>
      </x:c>
      <x:c r="E1" s="33" t="str">
        <x:v>Weekly KPI Summary</x:v>
      </x:c>
      <x:c r="F1" s="33" t="str">
        <x:v>Weekly KPI Summary</x:v>
      </x:c>
      <x:c r="G1" s="33" t="str">
        <x:v>Weekly KPI Summary</x:v>
      </x:c>
      <x:c r="H1" s="33" t="str">
        <x:v>Weekly KPI Summary</x:v>
      </x:c>
      <x:c r="I1" s="33" t="str">
        <x:v>Weekly KPI Summary</x:v>
      </x:c>
      <x:c r="J1" s="33" t="str">
        <x:v>Weekly KPI Summary</x:v>
      </x:c>
      <x:c r="K1" s="33" t="str">
        <x:v>Weekly KPI Summary</x:v>
      </x:c>
      <x:c r="L1" s="33" t="str">
        <x:v>Weekly KPI Summary</x:v>
      </x:c>
      <x:c r="M1" s="33" t="str">
        <x:v>Weekly KPI Summary</x:v>
      </x:c>
    </x:row>
    <x:row r="2">
      <x:c r="A2" s="34" t="str">
        <x:v>Formula-backed weekly rollup from the Daily Tracker.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</x:row>
    <x:row r="4">
      <x:c r="A4" s="31" t="str">
        <x:v>Week Start</x:v>
      </x:c>
      <x:c r="B4" s="31" t="str">
        <x:v>Week End</x:v>
      </x:c>
      <x:c r="C4" s="31" t="str">
        <x:v>Followers End</x:v>
      </x:c>
      <x:c r="D4" s="31" t="str">
        <x:v>New Followers</x:v>
      </x:c>
      <x:c r="E4" s="31" t="str">
        <x:v>Reach</x:v>
      </x:c>
      <x:c r="F4" s="31" t="str">
        <x:v>Reel Views</x:v>
      </x:c>
      <x:c r="G4" s="31" t="str">
        <x:v>Saves</x:v>
      </x:c>
      <x:c r="H4" s="31" t="str">
        <x:v>Profile Visits</x:v>
      </x:c>
      <x:c r="I4" s="31" t="str">
        <x:v>Website Clicks</x:v>
      </x:c>
      <x:c r="J4" s="31" t="str">
        <x:v>Orders</x:v>
      </x:c>
      <x:c r="K4" s="31" t="str">
        <x:v>Save Rate</x:v>
      </x:c>
      <x:c r="L4" s="31" t="str">
        <x:v>Website CTR</x:v>
      </x:c>
      <x:c r="M4" s="31" t="str">
        <x:v>Order Conversion</x:v>
      </x:c>
    </x:row>
    <x:row r="5">
      <x:c r="A5" s="36" t="str">
        <x:f>'Daily Tracker'!A5</x:f>
        <x:v>2026-06-07</x:v>
      </x:c>
      <x:c r="B5" s="36" t="str">
        <x:f>'Daily Tracker'!A11</x:f>
        <x:v>2026-06-13</x:v>
      </x:c>
      <x:c r="C5" s="36" t="str">
        <x:f>IFERROR(LOOKUP(2,1/('Daily Tracker'!E5:E11&lt;&gt;""),'Daily Tracker'!E5:E11),"")</x:f>
      </x:c>
      <x:c r="D5" s="36" t="n">
        <x:f>SUM('Daily Tracker'!L5:L11)</x:f>
        <x:v>0</x:v>
      </x:c>
      <x:c r="E5" s="36" t="n">
        <x:f>SUM('Daily Tracker'!F5:F11)</x:f>
        <x:v>0</x:v>
      </x:c>
      <x:c r="F5" s="36" t="n">
        <x:f>SUM('Daily Tracker'!G5:G11)</x:f>
        <x:v>0</x:v>
      </x:c>
      <x:c r="G5" s="36" t="n">
        <x:f>SUM('Daily Tracker'!H5:H11)</x:f>
        <x:v>0</x:v>
      </x:c>
      <x:c r="H5" s="36" t="n">
        <x:f>SUM('Daily Tracker'!I5:I11)</x:f>
        <x:v>0</x:v>
      </x:c>
      <x:c r="I5" s="36" t="n">
        <x:f>SUM('Daily Tracker'!J5:J11)</x:f>
        <x:v>0</x:v>
      </x:c>
      <x:c r="J5" s="36" t="n">
        <x:f>SUM('Daily Tracker'!K5:K11)</x:f>
        <x:v>0</x:v>
      </x:c>
      <x:c r="K5" s="36" t="str">
        <x:f>IFERROR(G5/F5,"")</x:f>
      </x:c>
      <x:c r="L5" s="36" t="str">
        <x:f>IFERROR(I5/H5,"")</x:f>
      </x:c>
      <x:c r="M5" s="36" t="str">
        <x:f>IFERROR(J5/I5,"")</x:f>
      </x:c>
    </x:row>
    <x:row r="6">
      <x:c r="A6" s="36" t="str">
        <x:f>'Daily Tracker'!A12</x:f>
        <x:v>2026-06-14</x:v>
      </x:c>
      <x:c r="B6" s="36" t="str">
        <x:f>'Daily Tracker'!A18</x:f>
        <x:v>2026-06-20</x:v>
      </x:c>
      <x:c r="C6" s="36" t="str">
        <x:f>IFERROR(LOOKUP(2,1/('Daily Tracker'!E12:E18&lt;&gt;""),'Daily Tracker'!E12:E18),"")</x:f>
      </x:c>
      <x:c r="D6" s="36" t="n">
        <x:f>SUM('Daily Tracker'!L12:L18)</x:f>
        <x:v>0</x:v>
      </x:c>
      <x:c r="E6" s="36" t="n">
        <x:f>SUM('Daily Tracker'!F12:F18)</x:f>
        <x:v>0</x:v>
      </x:c>
      <x:c r="F6" s="36" t="n">
        <x:f>SUM('Daily Tracker'!G12:G18)</x:f>
        <x:v>0</x:v>
      </x:c>
      <x:c r="G6" s="36" t="n">
        <x:f>SUM('Daily Tracker'!H12:H18)</x:f>
        <x:v>0</x:v>
      </x:c>
      <x:c r="H6" s="36" t="n">
        <x:f>SUM('Daily Tracker'!I12:I18)</x:f>
        <x:v>0</x:v>
      </x:c>
      <x:c r="I6" s="36" t="n">
        <x:f>SUM('Daily Tracker'!J12:J18)</x:f>
        <x:v>0</x:v>
      </x:c>
      <x:c r="J6" s="36" t="n">
        <x:f>SUM('Daily Tracker'!K12:K18)</x:f>
        <x:v>0</x:v>
      </x:c>
      <x:c r="K6" s="36" t="str">
        <x:f>IFERROR(G6/F6,"")</x:f>
      </x:c>
      <x:c r="L6" s="36" t="str">
        <x:f>IFERROR(I6/H6,"")</x:f>
      </x:c>
      <x:c r="M6" s="36" t="str">
        <x:f>IFERROR(J6/I6,"")</x:f>
      </x:c>
    </x:row>
    <x:row r="7">
      <x:c r="A7" s="36" t="str">
        <x:f>'Daily Tracker'!A19</x:f>
        <x:v>2026-06-21</x:v>
      </x:c>
      <x:c r="B7" s="36" t="str">
        <x:f>'Daily Tracker'!A25</x:f>
        <x:v>2026-06-27</x:v>
      </x:c>
      <x:c r="C7" s="36" t="str">
        <x:f>IFERROR(LOOKUP(2,1/('Daily Tracker'!E19:E25&lt;&gt;""),'Daily Tracker'!E19:E25),"")</x:f>
      </x:c>
      <x:c r="D7" s="36" t="n">
        <x:f>SUM('Daily Tracker'!L19:L25)</x:f>
        <x:v>0</x:v>
      </x:c>
      <x:c r="E7" s="36" t="n">
        <x:f>SUM('Daily Tracker'!F19:F25)</x:f>
        <x:v>0</x:v>
      </x:c>
      <x:c r="F7" s="36" t="n">
        <x:f>SUM('Daily Tracker'!G19:G25)</x:f>
        <x:v>0</x:v>
      </x:c>
      <x:c r="G7" s="36" t="n">
        <x:f>SUM('Daily Tracker'!H19:H25)</x:f>
        <x:v>0</x:v>
      </x:c>
      <x:c r="H7" s="36" t="n">
        <x:f>SUM('Daily Tracker'!I19:I25)</x:f>
        <x:v>0</x:v>
      </x:c>
      <x:c r="I7" s="36" t="n">
        <x:f>SUM('Daily Tracker'!J19:J25)</x:f>
        <x:v>0</x:v>
      </x:c>
      <x:c r="J7" s="36" t="n">
        <x:f>SUM('Daily Tracker'!K19:K25)</x:f>
        <x:v>0</x:v>
      </x:c>
      <x:c r="K7" s="36" t="str">
        <x:f>IFERROR(G7/F7,"")</x:f>
      </x:c>
      <x:c r="L7" s="36" t="str">
        <x:f>IFERROR(I7/H7,"")</x:f>
      </x:c>
      <x:c r="M7" s="36" t="str">
        <x:f>IFERROR(J7/I7,"")</x:f>
      </x:c>
    </x:row>
    <x:row r="8">
      <x:c r="A8" s="36" t="str">
        <x:f>'Daily Tracker'!A26</x:f>
        <x:v>2026-06-28</x:v>
      </x:c>
      <x:c r="B8" s="36" t="str">
        <x:f>'Daily Tracker'!A32</x:f>
        <x:v>2026-07-04</x:v>
      </x:c>
      <x:c r="C8" s="36" t="str">
        <x:f>IFERROR(LOOKUP(2,1/('Daily Tracker'!E26:E32&lt;&gt;""),'Daily Tracker'!E26:E32),"")</x:f>
      </x:c>
      <x:c r="D8" s="36" t="n">
        <x:f>SUM('Daily Tracker'!L26:L32)</x:f>
        <x:v>0</x:v>
      </x:c>
      <x:c r="E8" s="36" t="n">
        <x:f>SUM('Daily Tracker'!F26:F32)</x:f>
        <x:v>0</x:v>
      </x:c>
      <x:c r="F8" s="36" t="n">
        <x:f>SUM('Daily Tracker'!G26:G32)</x:f>
        <x:v>0</x:v>
      </x:c>
      <x:c r="G8" s="36" t="n">
        <x:f>SUM('Daily Tracker'!H26:H32)</x:f>
        <x:v>0</x:v>
      </x:c>
      <x:c r="H8" s="36" t="n">
        <x:f>SUM('Daily Tracker'!I26:I32)</x:f>
        <x:v>0</x:v>
      </x:c>
      <x:c r="I8" s="36" t="n">
        <x:f>SUM('Daily Tracker'!J26:J32)</x:f>
        <x:v>0</x:v>
      </x:c>
      <x:c r="J8" s="36" t="n">
        <x:f>SUM('Daily Tracker'!K26:K32)</x:f>
        <x:v>0</x:v>
      </x:c>
      <x:c r="K8" s="36" t="str">
        <x:f>IFERROR(G8/F8,"")</x:f>
      </x:c>
      <x:c r="L8" s="36" t="str">
        <x:f>IFERROR(I8/H8,"")</x:f>
      </x:c>
      <x:c r="M8" s="36" t="str">
        <x:f>IFERROR(J8/I8,"")</x:f>
      </x:c>
    </x:row>
    <x:row r="9">
      <x:c r="A9" s="36" t="str">
        <x:f>'Daily Tracker'!A33</x:f>
        <x:v>2026-07-05</x:v>
      </x:c>
      <x:c r="B9" s="36" t="str">
        <x:f>'Daily Tracker'!A35</x:f>
        <x:v>2026-07-07</x:v>
      </x:c>
      <x:c r="C9" s="36" t="str">
        <x:f>IFERROR(LOOKUP(2,1/('Daily Tracker'!E33:E35&lt;&gt;""),'Daily Tracker'!E33:E35),"")</x:f>
      </x:c>
      <x:c r="D9" s="36" t="n">
        <x:f>SUM('Daily Tracker'!L33:L35)</x:f>
        <x:v>0</x:v>
      </x:c>
      <x:c r="E9" s="36" t="n">
        <x:f>SUM('Daily Tracker'!F33:F35)</x:f>
        <x:v>0</x:v>
      </x:c>
      <x:c r="F9" s="36" t="n">
        <x:f>SUM('Daily Tracker'!G33:G35)</x:f>
        <x:v>0</x:v>
      </x:c>
      <x:c r="G9" s="36" t="n">
        <x:f>SUM('Daily Tracker'!H33:H35)</x:f>
        <x:v>0</x:v>
      </x:c>
      <x:c r="H9" s="36" t="n">
        <x:f>SUM('Daily Tracker'!I33:I35)</x:f>
        <x:v>0</x:v>
      </x:c>
      <x:c r="I9" s="36" t="n">
        <x:f>SUM('Daily Tracker'!J33:J35)</x:f>
        <x:v>0</x:v>
      </x:c>
      <x:c r="J9" s="36" t="n">
        <x:f>SUM('Daily Tracker'!K33:K35)</x:f>
        <x:v>0</x:v>
      </x:c>
      <x:c r="K9" s="36" t="str">
        <x:f>IFERROR(G9/F9,"")</x:f>
      </x:c>
      <x:c r="L9" s="36" t="str">
        <x:f>IFERROR(I9/H9,"")</x:f>
      </x:c>
      <x:c r="M9" s="36" t="str">
        <x:f>IFERROR(J9/I9,"")</x:f>
      </x:c>
    </x:row>
  </x:sheetData>
  <x:mergeCells>
    <x:mergeCell ref="A1:M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2.220000267028809" hidden="0" customWidth="1"/>
    <x:col min="3" max="3" width="12.779999732971191" hidden="0" customWidth="1"/>
    <x:col min="4" max="4" width="11.670000076293945" hidden="0" customWidth="1"/>
    <x:col min="5" max="5" width="12.779999732971191" hidden="0" customWidth="1"/>
    <x:col min="6" max="6" width="10" hidden="0" customWidth="1"/>
    <x:col min="7" max="7" width="13.329999923706055" hidden="0" customWidth="1"/>
    <x:col min="8" max="8" width="12.779999732971191" hidden="0" customWidth="1"/>
    <x:col min="9" max="9" width="9.4399995803833" hidden="0" customWidth="1"/>
    <x:col min="10" max="10" width="10" hidden="0" customWidth="1"/>
    <x:col min="11" max="11" width="13.890000343322754" hidden="0" customWidth="1"/>
    <x:col min="12" max="12" width="10.5600004196167" hidden="0" customWidth="1"/>
    <x:col min="13" max="13" width="13.329999923706055" hidden="0" customWidth="1"/>
  </x:cols>
  <x:sheetData>
    <x:row r="1">
      <x:c r="A1" s="33" t="str">
        <x:v>Monthly KPI Summary</x:v>
      </x:c>
      <x:c r="B1" s="33" t="str">
        <x:v>Monthly KPI Summary</x:v>
      </x:c>
      <x:c r="C1" s="33" t="str">
        <x:v>Monthly KPI Summary</x:v>
      </x:c>
      <x:c r="D1" s="33" t="str">
        <x:v>Monthly KPI Summary</x:v>
      </x:c>
      <x:c r="E1" s="33" t="str">
        <x:v>Monthly KPI Summary</x:v>
      </x:c>
      <x:c r="F1" s="33" t="str">
        <x:v>Monthly KPI Summary</x:v>
      </x:c>
      <x:c r="G1" s="33" t="str">
        <x:v>Monthly KPI Summary</x:v>
      </x:c>
      <x:c r="H1" s="33" t="str">
        <x:v>Monthly KPI Summary</x:v>
      </x:c>
      <x:c r="I1" s="33" t="str">
        <x:v>Monthly KPI Summary</x:v>
      </x:c>
      <x:c r="J1" s="33" t="str">
        <x:v>Monthly KPI Summary</x:v>
      </x:c>
      <x:c r="K1" s="33" t="str">
        <x:v>Monthly KPI Summary</x:v>
      </x:c>
      <x:c r="L1" s="33" t="str">
        <x:v>Monthly KPI Summary</x:v>
      </x:c>
      <x:c r="M1" s="33" t="str">
        <x:v>Monthly KPI Summary</x:v>
      </x:c>
    </x:row>
    <x:row r="2">
      <x:c r="A2" s="34" t="str">
        <x:v>Monthly rollup from the Daily Tracker.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</x:row>
    <x:row r="4">
      <x:c r="A4" s="31" t="str">
        <x:v>Month</x:v>
      </x:c>
      <x:c r="B4" s="31" t="str">
        <x:v>Followers End</x:v>
      </x:c>
      <x:c r="C4" s="31" t="str">
        <x:v>New Followers</x:v>
      </x:c>
      <x:c r="D4" s="31" t="str">
        <x:v>Reach</x:v>
      </x:c>
      <x:c r="E4" s="31" t="str">
        <x:v>Reel Views</x:v>
      </x:c>
      <x:c r="F4" s="31" t="str">
        <x:v>Saves</x:v>
      </x:c>
      <x:c r="G4" s="31" t="str">
        <x:v>Profile Visits</x:v>
      </x:c>
      <x:c r="H4" s="31" t="str">
        <x:v>Website Clicks</x:v>
      </x:c>
      <x:c r="I4" s="31" t="str">
        <x:v>Orders</x:v>
      </x:c>
      <x:c r="J4" s="31" t="str">
        <x:v>Save Rate</x:v>
      </x:c>
      <x:c r="K4" s="31" t="str">
        <x:v>Profile Visit Rate</x:v>
      </x:c>
      <x:c r="L4" s="31" t="str">
        <x:v>Website CTR</x:v>
      </x:c>
      <x:c r="M4" s="31" t="str">
        <x:v>Order Conversion</x:v>
      </x:c>
    </x:row>
    <x:row r="5">
      <x:c r="A5" s="36" t="str">
        <x:f>TEXT(MIN('Daily Tracker'!A5:A35),"mmmm yyyy")</x:f>
        <x:v>January 1900</x:v>
      </x:c>
      <x:c r="B5" s="36" t="str">
        <x:f>IFERROR(LOOKUP(2,1/('Daily Tracker'!E5:E35&lt;&gt;""),'Daily Tracker'!E5:E35),"")</x:f>
      </x:c>
      <x:c r="C5" s="36" t="n">
        <x:f>SUM('Daily Tracker'!L5:L35)</x:f>
        <x:v>0</x:v>
      </x:c>
      <x:c r="D5" s="36" t="n">
        <x:f>SUM('Daily Tracker'!F5:F35)</x:f>
        <x:v>0</x:v>
      </x:c>
      <x:c r="E5" s="36" t="n">
        <x:f>SUM('Daily Tracker'!G5:G35)</x:f>
        <x:v>0</x:v>
      </x:c>
      <x:c r="F5" s="36" t="n">
        <x:f>SUM('Daily Tracker'!H5:H35)</x:f>
        <x:v>0</x:v>
      </x:c>
      <x:c r="G5" s="36" t="n">
        <x:f>SUM('Daily Tracker'!I5:I35)</x:f>
        <x:v>0</x:v>
      </x:c>
      <x:c r="H5" s="36" t="n">
        <x:f>SUM('Daily Tracker'!J5:J35)</x:f>
        <x:v>0</x:v>
      </x:c>
      <x:c r="I5" s="36" t="n">
        <x:f>SUM('Daily Tracker'!K5:K35)</x:f>
        <x:v>0</x:v>
      </x:c>
      <x:c r="J5" s="36" t="str">
        <x:f>IFERROR(F5/E5,"")</x:f>
      </x:c>
      <x:c r="K5" s="36" t="str">
        <x:f>IFERROR(G5/D5,"")</x:f>
      </x:c>
      <x:c r="L5" s="36" t="str">
        <x:f>IFERROR(H5/G5,"")</x:f>
      </x:c>
      <x:c r="M5" s="36" t="str">
        <x:f>IFERROR(I5/H5,"")</x:f>
      </x:c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3.890000343322754" hidden="0" customWidth="1"/>
    <x:col min="3" max="3" width="11.109999656677246" hidden="0" customWidth="1"/>
    <x:col min="4" max="4" width="13.329999923706055" hidden="0" customWidth="1"/>
    <x:col min="5" max="5" width="3.109999895095825" hidden="0" customWidth="1"/>
    <x:col min="6" max="6" width="11.670000076293945" hidden="0" customWidth="1"/>
    <x:col min="7" max="7" width="11.670000076293945" hidden="0" customWidth="1"/>
    <x:col min="8" max="8" width="12.779999732971191" hidden="0" customWidth="1"/>
    <x:col min="9" max="9" width="10" hidden="0" customWidth="1"/>
    <x:col min="10" max="10" width="13.329999923706055" hidden="0" customWidth="1"/>
    <x:col min="11" max="11" width="12.779999732971191" hidden="0" customWidth="1"/>
    <x:col min="12" max="12" width="9.4399995803833" hidden="0" customWidth="1"/>
  </x:cols>
  <x:sheetData>
    <x:row r="1">
      <x:c r="A1" s="33" t="str">
        <x:v>ASTRA STYLIX KPI Dashboard</x:v>
      </x:c>
      <x:c r="B1" s="33" t="str">
        <x:v>ASTRA STYLIX KPI Dashboard</x:v>
      </x:c>
      <x:c r="C1" s="33" t="str">
        <x:v>ASTRA STYLIX KPI Dashboard</x:v>
      </x:c>
      <x:c r="D1" s="33" t="str">
        <x:v>ASTRA STYLIX KPI Dashboard</x:v>
      </x:c>
      <x:c r="E1" s="33" t="str">
        <x:v>ASTRA STYLIX KPI Dashboard</x:v>
      </x:c>
      <x:c r="F1" s="33" t="str">
        <x:v>ASTRA STYLIX KPI Dashboard</x:v>
      </x:c>
      <x:c r="G1" s="33" t="str">
        <x:v>ASTRA STYLIX KPI Dashboard</x:v>
      </x:c>
      <x:c r="H1" s="33" t="str">
        <x:v>ASTRA STYLIX KPI Dashboard</x:v>
      </x:c>
      <x:c r="I1" s="33" t="str">
        <x:v>ASTRA STYLIX KPI Dashboard</x:v>
      </x:c>
      <x:c r="J1" s="33" t="str">
        <x:v>ASTRA STYLIX KPI Dashboard</x:v>
      </x:c>
      <x:c r="K1" s="33" t="str">
        <x:v>ASTRA STYLIX KPI Dashboard</x:v>
      </x:c>
      <x:c r="L1" s="33" t="str">
        <x:v>ASTRA STYLIX KPI Dashboard</x:v>
      </x:c>
    </x:row>
    <x:row r="2">
      <x:c r="A2" s="34" t="str">
        <x:v>Luxury jewelry Instagram growth pulse: audience, attention, intent, and orders.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</x:row>
    <x:row r="4">
      <x:c r="A4" s="31" t="str">
        <x:v>KPI</x:v>
      </x:c>
      <x:c r="B4" s="31" t="str">
        <x:v>Current Month</x:v>
      </x:c>
      <x:c r="C4" s="31" t="str">
        <x:v>Target</x:v>
      </x:c>
      <x:c r="D4" s="31" t="str">
        <x:v>Status</x:v>
      </x:c>
      <x:c r="E4" s="35"/>
      <x:c r="F4" s="39" t="str">
        <x:v>Daily Trend Source for Chart</x:v>
      </x:c>
      <x:c r="G4" s="39" t="str"/>
      <x:c r="H4" s="39" t="str"/>
      <x:c r="I4" s="39" t="str"/>
      <x:c r="J4" s="39" t="str"/>
      <x:c r="K4" s="39" t="str"/>
      <x:c r="L4" s="39" t="str"/>
    </x:row>
    <x:row r="5">
      <x:c r="A5" s="36" t="str">
        <x:v>Followers</x:v>
      </x:c>
      <x:c r="B5" s="36" t="n">
        <x:f>'Monthly Summary'!B5</x:f>
        <x:v>0</x:v>
      </x:c>
      <x:c r="C5" s="36" t="n">
        <x:v>5000</x:v>
      </x:c>
      <x:c r="D5" s="36" t="str">
        <x:f>IF(B5="","No data",IF(B5&gt;=C5,"On Track","Needs Focus"))</x:f>
        <x:v>No data</x:v>
      </x:c>
      <x:c r="E5" s="35"/>
      <x:c r="F5" s="31" t="str">
        <x:v>Date</x:v>
      </x:c>
      <x:c r="G5" s="31" t="str">
        <x:v>Reach</x:v>
      </x:c>
      <x:c r="H5" s="31" t="str">
        <x:v>Reel Views</x:v>
      </x:c>
      <x:c r="I5" s="31" t="str">
        <x:v>Saves</x:v>
      </x:c>
      <x:c r="J5" s="31" t="str">
        <x:v>Profile Visits</x:v>
      </x:c>
      <x:c r="K5" s="31" t="str">
        <x:v>Website Clicks</x:v>
      </x:c>
      <x:c r="L5" s="31" t="str">
        <x:v>Orders</x:v>
      </x:c>
    </x:row>
    <x:row r="6">
      <x:c r="A6" s="36" t="str">
        <x:v>Reach</x:v>
      </x:c>
      <x:c r="B6" s="36" t="n">
        <x:f>'Monthly Summary'!D5</x:f>
        <x:v>0</x:v>
      </x:c>
      <x:c r="C6" s="36" t="n">
        <x:v>100000</x:v>
      </x:c>
      <x:c r="D6" s="36" t="str">
        <x:f>IF(B6="","No data",IF(B6&gt;=C6,"On Track","Needs Focus"))</x:f>
        <x:v>No data</x:v>
      </x:c>
      <x:c r="E6" s="35"/>
      <x:c r="F6" s="36" t="str">
        <x:f>'Daily Tracker'!A5</x:f>
        <x:v>2026-06-07</x:v>
      </x:c>
      <x:c r="G6" s="36" t="n">
        <x:f>'Daily Tracker'!F5</x:f>
        <x:v>0</x:v>
      </x:c>
      <x:c r="H6" s="36" t="n">
        <x:f>'Daily Tracker'!G5</x:f>
        <x:v>0</x:v>
      </x:c>
      <x:c r="I6" s="36" t="n">
        <x:f>'Daily Tracker'!H5</x:f>
        <x:v>0</x:v>
      </x:c>
      <x:c r="J6" s="36" t="n">
        <x:f>'Daily Tracker'!I5</x:f>
        <x:v>0</x:v>
      </x:c>
      <x:c r="K6" s="36" t="n">
        <x:f>'Daily Tracker'!J5</x:f>
        <x:v>0</x:v>
      </x:c>
      <x:c r="L6" s="36" t="str">
        <x:f>'Daily Tracker'!K5</x:f>
      </x:c>
    </x:row>
    <x:row r="7">
      <x:c r="A7" s="36" t="str">
        <x:v>Reel Views</x:v>
      </x:c>
      <x:c r="B7" s="36" t="n">
        <x:f>'Monthly Summary'!E5</x:f>
        <x:v>0</x:v>
      </x:c>
      <x:c r="C7" s="36" t="n">
        <x:v>150000</x:v>
      </x:c>
      <x:c r="D7" s="36" t="str">
        <x:f>IF(B7="","No data",IF(B7&gt;=C7,"On Track","Needs Focus"))</x:f>
        <x:v>No data</x:v>
      </x:c>
      <x:c r="E7" s="35"/>
      <x:c r="F7" s="36" t="str">
        <x:f>'Daily Tracker'!A6</x:f>
        <x:v>2026-06-08</x:v>
      </x:c>
      <x:c r="G7" s="36" t="n">
        <x:f>'Daily Tracker'!F6</x:f>
        <x:v>0</x:v>
      </x:c>
      <x:c r="H7" s="36" t="n">
        <x:f>'Daily Tracker'!G6</x:f>
        <x:v>0</x:v>
      </x:c>
      <x:c r="I7" s="36" t="n">
        <x:f>'Daily Tracker'!H6</x:f>
        <x:v>0</x:v>
      </x:c>
      <x:c r="J7" s="36" t="n">
        <x:f>'Daily Tracker'!I6</x:f>
        <x:v>0</x:v>
      </x:c>
      <x:c r="K7" s="36" t="n">
        <x:f>'Daily Tracker'!J6</x:f>
        <x:v>0</x:v>
      </x:c>
      <x:c r="L7" s="36" t="str">
        <x:f>'Daily Tracker'!K6</x:f>
      </x:c>
    </x:row>
    <x:row r="8">
      <x:c r="A8" s="36" t="str">
        <x:v>Saves</x:v>
      </x:c>
      <x:c r="B8" s="36" t="n">
        <x:f>'Monthly Summary'!F5</x:f>
        <x:v>0</x:v>
      </x:c>
      <x:c r="C8" s="36" t="n">
        <x:v>5000</x:v>
      </x:c>
      <x:c r="D8" s="36" t="str">
        <x:f>IF(B8="","No data",IF(B8&gt;=C8,"On Track","Needs Focus"))</x:f>
        <x:v>No data</x:v>
      </x:c>
      <x:c r="E8" s="35"/>
      <x:c r="F8" s="36" t="str">
        <x:f>'Daily Tracker'!A7</x:f>
        <x:v>2026-06-09</x:v>
      </x:c>
      <x:c r="G8" s="36" t="n">
        <x:f>'Daily Tracker'!F7</x:f>
        <x:v>0</x:v>
      </x:c>
      <x:c r="H8" s="36" t="n">
        <x:f>'Daily Tracker'!G7</x:f>
        <x:v>0</x:v>
      </x:c>
      <x:c r="I8" s="36" t="n">
        <x:f>'Daily Tracker'!H7</x:f>
        <x:v>0</x:v>
      </x:c>
      <x:c r="J8" s="36" t="n">
        <x:f>'Daily Tracker'!I7</x:f>
        <x:v>0</x:v>
      </x:c>
      <x:c r="K8" s="36" t="n">
        <x:f>'Daily Tracker'!J7</x:f>
        <x:v>0</x:v>
      </x:c>
      <x:c r="L8" s="36" t="str">
        <x:f>'Daily Tracker'!K7</x:f>
      </x:c>
    </x:row>
    <x:row r="9">
      <x:c r="A9" s="36" t="str">
        <x:v>Profile Visits</x:v>
      </x:c>
      <x:c r="B9" s="36" t="n">
        <x:f>'Monthly Summary'!G5</x:f>
        <x:v>0</x:v>
      </x:c>
      <x:c r="C9" s="36" t="n">
        <x:v>2500</x:v>
      </x:c>
      <x:c r="D9" s="36" t="str">
        <x:f>IF(B9="","No data",IF(B9&gt;=C9,"On Track","Needs Focus"))</x:f>
        <x:v>No data</x:v>
      </x:c>
      <x:c r="E9" s="35"/>
      <x:c r="F9" s="36" t="str">
        <x:f>'Daily Tracker'!A8</x:f>
        <x:v>2026-06-10</x:v>
      </x:c>
      <x:c r="G9" s="36" t="n">
        <x:f>'Daily Tracker'!F8</x:f>
        <x:v>0</x:v>
      </x:c>
      <x:c r="H9" s="36" t="n">
        <x:f>'Daily Tracker'!G8</x:f>
        <x:v>0</x:v>
      </x:c>
      <x:c r="I9" s="36" t="n">
        <x:f>'Daily Tracker'!H8</x:f>
        <x:v>0</x:v>
      </x:c>
      <x:c r="J9" s="36" t="n">
        <x:f>'Daily Tracker'!I8</x:f>
        <x:v>0</x:v>
      </x:c>
      <x:c r="K9" s="36" t="n">
        <x:f>'Daily Tracker'!J8</x:f>
        <x:v>0</x:v>
      </x:c>
      <x:c r="L9" s="36" t="str">
        <x:f>'Daily Tracker'!K8</x:f>
      </x:c>
    </x:row>
    <x:row r="10">
      <x:c r="A10" s="36" t="str">
        <x:v>Website Clicks</x:v>
      </x:c>
      <x:c r="B10" s="36" t="n">
        <x:f>'Monthly Summary'!H5</x:f>
        <x:v>0</x:v>
      </x:c>
      <x:c r="C10" s="36" t="n">
        <x:v>500</x:v>
      </x:c>
      <x:c r="D10" s="36" t="str">
        <x:f>IF(B10="","No data",IF(B10&gt;=C10,"On Track","Needs Focus"))</x:f>
        <x:v>No data</x:v>
      </x:c>
      <x:c r="E10" s="35"/>
      <x:c r="F10" s="36" t="str">
        <x:f>'Daily Tracker'!A9</x:f>
        <x:v>2026-06-11</x:v>
      </x:c>
      <x:c r="G10" s="36" t="n">
        <x:f>'Daily Tracker'!F9</x:f>
        <x:v>0</x:v>
      </x:c>
      <x:c r="H10" s="36" t="n">
        <x:f>'Daily Tracker'!G9</x:f>
        <x:v>0</x:v>
      </x:c>
      <x:c r="I10" s="36" t="n">
        <x:f>'Daily Tracker'!H9</x:f>
        <x:v>0</x:v>
      </x:c>
      <x:c r="J10" s="36" t="n">
        <x:f>'Daily Tracker'!I9</x:f>
        <x:v>0</x:v>
      </x:c>
      <x:c r="K10" s="36" t="n">
        <x:f>'Daily Tracker'!J9</x:f>
        <x:v>0</x:v>
      </x:c>
      <x:c r="L10" s="36" t="str">
        <x:f>'Daily Tracker'!K9</x:f>
      </x:c>
    </x:row>
    <x:row r="11">
      <x:c r="A11" s="36" t="str">
        <x:v>Orders</x:v>
      </x:c>
      <x:c r="B11" s="36" t="n">
        <x:f>'Monthly Summary'!I5</x:f>
        <x:v>0</x:v>
      </x:c>
      <x:c r="C11" s="36" t="n">
        <x:v>30</x:v>
      </x:c>
      <x:c r="D11" s="36" t="str">
        <x:f>IF(B11="","No data",IF(B11&gt;=C11,"On Track","Needs Focus"))</x:f>
        <x:v>No data</x:v>
      </x:c>
      <x:c r="E11" s="35"/>
      <x:c r="F11" s="36" t="str">
        <x:f>'Daily Tracker'!A10</x:f>
        <x:v>2026-06-12</x:v>
      </x:c>
      <x:c r="G11" s="36" t="n">
        <x:f>'Daily Tracker'!F10</x:f>
        <x:v>0</x:v>
      </x:c>
      <x:c r="H11" s="36" t="n">
        <x:f>'Daily Tracker'!G10</x:f>
        <x:v>0</x:v>
      </x:c>
      <x:c r="I11" s="36" t="n">
        <x:f>'Daily Tracker'!H10</x:f>
        <x:v>0</x:v>
      </x:c>
      <x:c r="J11" s="36" t="n">
        <x:f>'Daily Tracker'!I10</x:f>
        <x:v>0</x:v>
      </x:c>
      <x:c r="K11" s="36" t="n">
        <x:f>'Daily Tracker'!J10</x:f>
        <x:v>0</x:v>
      </x:c>
      <x:c r="L11" s="36" t="str">
        <x:f>'Daily Tracker'!K10</x:f>
      </x:c>
    </x:row>
    <x:row r="12">
      <x:c r="A12" s="35"/>
      <x:c r="B12" s="35"/>
      <x:c r="C12" s="35"/>
      <x:c r="D12" s="35"/>
      <x:c r="E12" s="35"/>
      <x:c r="F12" s="36" t="str">
        <x:f>'Daily Tracker'!A11</x:f>
        <x:v>2026-06-13</x:v>
      </x:c>
      <x:c r="G12" s="36" t="n">
        <x:f>'Daily Tracker'!F11</x:f>
        <x:v>0</x:v>
      </x:c>
      <x:c r="H12" s="36" t="n">
        <x:f>'Daily Tracker'!G11</x:f>
        <x:v>0</x:v>
      </x:c>
      <x:c r="I12" s="36" t="n">
        <x:f>'Daily Tracker'!H11</x:f>
        <x:v>0</x:v>
      </x:c>
      <x:c r="J12" s="36" t="n">
        <x:f>'Daily Tracker'!I11</x:f>
        <x:v>0</x:v>
      </x:c>
      <x:c r="K12" s="36" t="n">
        <x:f>'Daily Tracker'!J11</x:f>
        <x:v>0</x:v>
      </x:c>
      <x:c r="L12" s="36" t="str">
        <x:f>'Daily Tracker'!K11</x:f>
      </x:c>
    </x:row>
    <x:row r="13">
      <x:c r="A13" s="35"/>
      <x:c r="B13" s="35"/>
      <x:c r="C13" s="35"/>
      <x:c r="D13" s="35"/>
      <x:c r="E13" s="35"/>
      <x:c r="F13" s="36" t="str">
        <x:f>'Daily Tracker'!A12</x:f>
        <x:v>2026-06-14</x:v>
      </x:c>
      <x:c r="G13" s="36" t="n">
        <x:f>'Daily Tracker'!F12</x:f>
        <x:v>0</x:v>
      </x:c>
      <x:c r="H13" s="36" t="n">
        <x:f>'Daily Tracker'!G12</x:f>
        <x:v>0</x:v>
      </x:c>
      <x:c r="I13" s="36" t="n">
        <x:f>'Daily Tracker'!H12</x:f>
        <x:v>0</x:v>
      </x:c>
      <x:c r="J13" s="36" t="n">
        <x:f>'Daily Tracker'!I12</x:f>
        <x:v>0</x:v>
      </x:c>
      <x:c r="K13" s="36" t="n">
        <x:f>'Daily Tracker'!J12</x:f>
        <x:v>0</x:v>
      </x:c>
      <x:c r="L13" s="36" t="str">
        <x:f>'Daily Tracker'!K12</x:f>
      </x:c>
    </x:row>
    <x:row r="14">
      <x:c r="A14" s="31" t="str">
        <x:v>Conversion Quality</x:v>
      </x:c>
      <x:c r="B14" s="31" t="str">
        <x:v>Current</x:v>
      </x:c>
      <x:c r="C14" s="31" t="str">
        <x:v>Benchmark</x:v>
      </x:c>
      <x:c r="D14" s="31" t="str">
        <x:v>Read</x:v>
      </x:c>
      <x:c r="E14" s="35"/>
      <x:c r="F14" s="36" t="str">
        <x:f>'Daily Tracker'!A13</x:f>
        <x:v>2026-06-15</x:v>
      </x:c>
      <x:c r="G14" s="36" t="n">
        <x:f>'Daily Tracker'!F13</x:f>
        <x:v>0</x:v>
      </x:c>
      <x:c r="H14" s="36" t="n">
        <x:f>'Daily Tracker'!G13</x:f>
        <x:v>0</x:v>
      </x:c>
      <x:c r="I14" s="36" t="n">
        <x:f>'Daily Tracker'!H13</x:f>
        <x:v>0</x:v>
      </x:c>
      <x:c r="J14" s="36" t="n">
        <x:f>'Daily Tracker'!I13</x:f>
        <x:v>0</x:v>
      </x:c>
      <x:c r="K14" s="36" t="n">
        <x:f>'Daily Tracker'!J13</x:f>
        <x:v>0</x:v>
      </x:c>
      <x:c r="L14" s="36" t="str">
        <x:f>'Daily Tracker'!K13</x:f>
      </x:c>
    </x:row>
    <x:row r="15">
      <x:c r="A15" s="36" t="str">
        <x:v>Save Rate</x:v>
      </x:c>
      <x:c r="B15" s="36" t="n">
        <x:f>'Monthly Summary'!J5</x:f>
        <x:v>0</x:v>
      </x:c>
      <x:c r="C15" s="36" t="n">
        <x:v>0.03</x:v>
      </x:c>
      <x:c r="D15" s="36" t="str">
        <x:f>IF(B15="","No data",IF(B15&gt;=C15,"Strong","Watch"))</x:f>
        <x:v>No data</x:v>
      </x:c>
      <x:c r="E15" s="35"/>
      <x:c r="F15" s="36" t="str">
        <x:f>'Daily Tracker'!A14</x:f>
        <x:v>2026-06-16</x:v>
      </x:c>
      <x:c r="G15" s="36" t="n">
        <x:f>'Daily Tracker'!F14</x:f>
        <x:v>0</x:v>
      </x:c>
      <x:c r="H15" s="36" t="n">
        <x:f>'Daily Tracker'!G14</x:f>
        <x:v>0</x:v>
      </x:c>
      <x:c r="I15" s="36" t="n">
        <x:f>'Daily Tracker'!H14</x:f>
        <x:v>0</x:v>
      </x:c>
      <x:c r="J15" s="36" t="n">
        <x:f>'Daily Tracker'!I14</x:f>
        <x:v>0</x:v>
      </x:c>
      <x:c r="K15" s="36" t="n">
        <x:f>'Daily Tracker'!J14</x:f>
        <x:v>0</x:v>
      </x:c>
      <x:c r="L15" s="36" t="str">
        <x:f>'Daily Tracker'!K14</x:f>
      </x:c>
    </x:row>
    <x:row r="16">
      <x:c r="A16" s="36" t="str">
        <x:v>Profile Visit Rate</x:v>
      </x:c>
      <x:c r="B16" s="36" t="n">
        <x:f>'Monthly Summary'!K5</x:f>
        <x:v>0</x:v>
      </x:c>
      <x:c r="C16" s="36" t="n">
        <x:v>0.02</x:v>
      </x:c>
      <x:c r="D16" s="36" t="str">
        <x:f>IF(B16="","No data",IF(B16&gt;=C16,"Strong","Watch"))</x:f>
        <x:v>No data</x:v>
      </x:c>
      <x:c r="E16" s="35"/>
      <x:c r="F16" s="36" t="str">
        <x:f>'Daily Tracker'!A15</x:f>
        <x:v>2026-06-17</x:v>
      </x:c>
      <x:c r="G16" s="36" t="n">
        <x:f>'Daily Tracker'!F15</x:f>
        <x:v>0</x:v>
      </x:c>
      <x:c r="H16" s="36" t="n">
        <x:f>'Daily Tracker'!G15</x:f>
        <x:v>0</x:v>
      </x:c>
      <x:c r="I16" s="36" t="n">
        <x:f>'Daily Tracker'!H15</x:f>
        <x:v>0</x:v>
      </x:c>
      <x:c r="J16" s="36" t="n">
        <x:f>'Daily Tracker'!I15</x:f>
        <x:v>0</x:v>
      </x:c>
      <x:c r="K16" s="36" t="n">
        <x:f>'Daily Tracker'!J15</x:f>
        <x:v>0</x:v>
      </x:c>
      <x:c r="L16" s="36" t="str">
        <x:f>'Daily Tracker'!K15</x:f>
      </x:c>
    </x:row>
    <x:row r="17">
      <x:c r="A17" s="36" t="str">
        <x:v>Website CTR</x:v>
      </x:c>
      <x:c r="B17" s="36" t="n">
        <x:f>'Monthly Summary'!L5</x:f>
        <x:v>0</x:v>
      </x:c>
      <x:c r="C17" s="36" t="n">
        <x:v>0.2</x:v>
      </x:c>
      <x:c r="D17" s="36" t="str">
        <x:f>IF(B17="","No data",IF(B17&gt;=C17,"Strong","Watch"))</x:f>
        <x:v>No data</x:v>
      </x:c>
      <x:c r="E17" s="35"/>
      <x:c r="F17" s="36" t="str">
        <x:f>'Daily Tracker'!A16</x:f>
        <x:v>2026-06-18</x:v>
      </x:c>
      <x:c r="G17" s="36" t="n">
        <x:f>'Daily Tracker'!F16</x:f>
        <x:v>0</x:v>
      </x:c>
      <x:c r="H17" s="36" t="n">
        <x:f>'Daily Tracker'!G16</x:f>
        <x:v>0</x:v>
      </x:c>
      <x:c r="I17" s="36" t="n">
        <x:f>'Daily Tracker'!H16</x:f>
        <x:v>0</x:v>
      </x:c>
      <x:c r="J17" s="36" t="n">
        <x:f>'Daily Tracker'!I16</x:f>
        <x:v>0</x:v>
      </x:c>
      <x:c r="K17" s="36" t="n">
        <x:f>'Daily Tracker'!J16</x:f>
        <x:v>0</x:v>
      </x:c>
      <x:c r="L17" s="36" t="str">
        <x:f>'Daily Tracker'!K16</x:f>
      </x:c>
    </x:row>
    <x:row r="18">
      <x:c r="A18" s="36" t="str">
        <x:v>Order Conversion</x:v>
      </x:c>
      <x:c r="B18" s="36" t="n">
        <x:f>'Monthly Summary'!M5</x:f>
        <x:v>0</x:v>
      </x:c>
      <x:c r="C18" s="36" t="n">
        <x:v>0.06</x:v>
      </x:c>
      <x:c r="D18" s="36" t="str">
        <x:f>IF(B18="","No data",IF(B18&gt;=C18,"Strong","Watch"))</x:f>
        <x:v>No data</x:v>
      </x:c>
      <x:c r="E18" s="35"/>
      <x:c r="F18" s="36" t="str">
        <x:f>'Daily Tracker'!A17</x:f>
        <x:v>2026-06-19</x:v>
      </x:c>
      <x:c r="G18" s="36" t="n">
        <x:f>'Daily Tracker'!F17</x:f>
        <x:v>0</x:v>
      </x:c>
      <x:c r="H18" s="36" t="n">
        <x:f>'Daily Tracker'!G17</x:f>
        <x:v>0</x:v>
      </x:c>
      <x:c r="I18" s="36" t="n">
        <x:f>'Daily Tracker'!H17</x:f>
        <x:v>0</x:v>
      </x:c>
      <x:c r="J18" s="36" t="n">
        <x:f>'Daily Tracker'!I17</x:f>
        <x:v>0</x:v>
      </x:c>
      <x:c r="K18" s="36" t="n">
        <x:f>'Daily Tracker'!J17</x:f>
        <x:v>0</x:v>
      </x:c>
      <x:c r="L18" s="36" t="str">
        <x:f>'Daily Tracker'!K17</x:f>
      </x:c>
    </x:row>
    <x:row r="19">
      <x:c r="A19" s="35"/>
      <x:c r="B19" s="35"/>
      <x:c r="C19" s="35"/>
      <x:c r="D19" s="35"/>
      <x:c r="E19" s="35"/>
      <x:c r="F19" s="36" t="str">
        <x:f>'Daily Tracker'!A18</x:f>
        <x:v>2026-06-20</x:v>
      </x:c>
      <x:c r="G19" s="36" t="n">
        <x:f>'Daily Tracker'!F18</x:f>
        <x:v>0</x:v>
      </x:c>
      <x:c r="H19" s="36" t="n">
        <x:f>'Daily Tracker'!G18</x:f>
        <x:v>0</x:v>
      </x:c>
      <x:c r="I19" s="36" t="n">
        <x:f>'Daily Tracker'!H18</x:f>
        <x:v>0</x:v>
      </x:c>
      <x:c r="J19" s="36" t="n">
        <x:f>'Daily Tracker'!I18</x:f>
        <x:v>0</x:v>
      </x:c>
      <x:c r="K19" s="36" t="n">
        <x:f>'Daily Tracker'!J18</x:f>
        <x:v>0</x:v>
      </x:c>
      <x:c r="L19" s="36" t="str">
        <x:f>'Daily Tracker'!K18</x:f>
      </x:c>
    </x:row>
    <x:row r="20">
      <x:c r="A20" s="35"/>
      <x:c r="B20" s="35"/>
      <x:c r="C20" s="35"/>
      <x:c r="D20" s="35"/>
      <x:c r="E20" s="35"/>
      <x:c r="F20" s="36" t="str">
        <x:f>'Daily Tracker'!A19</x:f>
        <x:v>2026-06-21</x:v>
      </x:c>
      <x:c r="G20" s="36" t="n">
        <x:f>'Daily Tracker'!F19</x:f>
        <x:v>0</x:v>
      </x:c>
      <x:c r="H20" s="36" t="n">
        <x:f>'Daily Tracker'!G19</x:f>
        <x:v>0</x:v>
      </x:c>
      <x:c r="I20" s="36" t="n">
        <x:f>'Daily Tracker'!H19</x:f>
        <x:v>0</x:v>
      </x:c>
      <x:c r="J20" s="36" t="n">
        <x:f>'Daily Tracker'!I19</x:f>
        <x:v>0</x:v>
      </x:c>
      <x:c r="K20" s="36" t="n">
        <x:f>'Daily Tracker'!J19</x:f>
        <x:v>0</x:v>
      </x:c>
      <x:c r="L20" s="36" t="str">
        <x:f>'Daily Tracker'!K19</x:f>
      </x:c>
    </x:row>
    <x:row r="21">
      <x:c r="A21" s="35"/>
      <x:c r="B21" s="35"/>
      <x:c r="C21" s="35"/>
      <x:c r="D21" s="35"/>
      <x:c r="E21" s="35"/>
      <x:c r="F21" s="36" t="str">
        <x:f>'Daily Tracker'!A20</x:f>
        <x:v>2026-06-22</x:v>
      </x:c>
      <x:c r="G21" s="36" t="n">
        <x:f>'Daily Tracker'!F20</x:f>
        <x:v>0</x:v>
      </x:c>
      <x:c r="H21" s="36" t="n">
        <x:f>'Daily Tracker'!G20</x:f>
        <x:v>0</x:v>
      </x:c>
      <x:c r="I21" s="36" t="n">
        <x:f>'Daily Tracker'!H20</x:f>
        <x:v>0</x:v>
      </x:c>
      <x:c r="J21" s="36" t="n">
        <x:f>'Daily Tracker'!I20</x:f>
        <x:v>0</x:v>
      </x:c>
      <x:c r="K21" s="36" t="n">
        <x:f>'Daily Tracker'!J20</x:f>
        <x:v>0</x:v>
      </x:c>
      <x:c r="L21" s="36" t="str">
        <x:f>'Daily Tracker'!K20</x:f>
      </x:c>
    </x:row>
    <x:row r="22">
      <x:c r="A22" s="35"/>
      <x:c r="B22" s="35"/>
      <x:c r="C22" s="35"/>
      <x:c r="D22" s="35"/>
      <x:c r="E22" s="35"/>
      <x:c r="F22" s="36" t="str">
        <x:f>'Daily Tracker'!A21</x:f>
        <x:v>2026-06-23</x:v>
      </x:c>
      <x:c r="G22" s="36" t="n">
        <x:f>'Daily Tracker'!F21</x:f>
        <x:v>0</x:v>
      </x:c>
      <x:c r="H22" s="36" t="n">
        <x:f>'Daily Tracker'!G21</x:f>
        <x:v>0</x:v>
      </x:c>
      <x:c r="I22" s="36" t="n">
        <x:f>'Daily Tracker'!H21</x:f>
        <x:v>0</x:v>
      </x:c>
      <x:c r="J22" s="36" t="n">
        <x:f>'Daily Tracker'!I21</x:f>
        <x:v>0</x:v>
      </x:c>
      <x:c r="K22" s="36" t="n">
        <x:f>'Daily Tracker'!J21</x:f>
        <x:v>0</x:v>
      </x:c>
      <x:c r="L22" s="36" t="str">
        <x:f>'Daily Tracker'!K21</x:f>
      </x:c>
    </x:row>
    <x:row r="23">
      <x:c r="A23" s="35"/>
      <x:c r="B23" s="35"/>
      <x:c r="C23" s="35"/>
      <x:c r="D23" s="35"/>
      <x:c r="E23" s="35"/>
      <x:c r="F23" s="36" t="str">
        <x:f>'Daily Tracker'!A22</x:f>
        <x:v>2026-06-24</x:v>
      </x:c>
      <x:c r="G23" s="36" t="n">
        <x:f>'Daily Tracker'!F22</x:f>
        <x:v>0</x:v>
      </x:c>
      <x:c r="H23" s="36" t="n">
        <x:f>'Daily Tracker'!G22</x:f>
        <x:v>0</x:v>
      </x:c>
      <x:c r="I23" s="36" t="n">
        <x:f>'Daily Tracker'!H22</x:f>
        <x:v>0</x:v>
      </x:c>
      <x:c r="J23" s="36" t="n">
        <x:f>'Daily Tracker'!I22</x:f>
        <x:v>0</x:v>
      </x:c>
      <x:c r="K23" s="36" t="n">
        <x:f>'Daily Tracker'!J22</x:f>
        <x:v>0</x:v>
      </x:c>
      <x:c r="L23" s="36" t="str">
        <x:f>'Daily Tracker'!K22</x:f>
      </x:c>
    </x:row>
    <x:row r="24">
      <x:c r="A24" s="35"/>
      <x:c r="B24" s="35"/>
      <x:c r="C24" s="35"/>
      <x:c r="D24" s="35"/>
      <x:c r="E24" s="35"/>
      <x:c r="F24" s="36" t="str">
        <x:f>'Daily Tracker'!A23</x:f>
        <x:v>2026-06-25</x:v>
      </x:c>
      <x:c r="G24" s="36" t="n">
        <x:f>'Daily Tracker'!F23</x:f>
        <x:v>0</x:v>
      </x:c>
      <x:c r="H24" s="36" t="n">
        <x:f>'Daily Tracker'!G23</x:f>
        <x:v>0</x:v>
      </x:c>
      <x:c r="I24" s="36" t="n">
        <x:f>'Daily Tracker'!H23</x:f>
        <x:v>0</x:v>
      </x:c>
      <x:c r="J24" s="36" t="n">
        <x:f>'Daily Tracker'!I23</x:f>
        <x:v>0</x:v>
      </x:c>
      <x:c r="K24" s="36" t="n">
        <x:f>'Daily Tracker'!J23</x:f>
        <x:v>0</x:v>
      </x:c>
      <x:c r="L24" s="36" t="str">
        <x:f>'Daily Tracker'!K23</x:f>
      </x:c>
    </x:row>
    <x:row r="25">
      <x:c r="A25" s="35"/>
      <x:c r="B25" s="35"/>
      <x:c r="C25" s="35"/>
      <x:c r="D25" s="35"/>
      <x:c r="E25" s="35"/>
      <x:c r="F25" s="36" t="str">
        <x:f>'Daily Tracker'!A24</x:f>
        <x:v>2026-06-26</x:v>
      </x:c>
      <x:c r="G25" s="36" t="n">
        <x:f>'Daily Tracker'!F24</x:f>
        <x:v>0</x:v>
      </x:c>
      <x:c r="H25" s="36" t="n">
        <x:f>'Daily Tracker'!G24</x:f>
        <x:v>0</x:v>
      </x:c>
      <x:c r="I25" s="36" t="n">
        <x:f>'Daily Tracker'!H24</x:f>
        <x:v>0</x:v>
      </x:c>
      <x:c r="J25" s="36" t="n">
        <x:f>'Daily Tracker'!I24</x:f>
        <x:v>0</x:v>
      </x:c>
      <x:c r="K25" s="36" t="n">
        <x:f>'Daily Tracker'!J24</x:f>
        <x:v>0</x:v>
      </x:c>
      <x:c r="L25" s="36" t="str">
        <x:f>'Daily Tracker'!K24</x:f>
      </x:c>
    </x:row>
    <x:row r="26">
      <x:c r="A26" s="35"/>
      <x:c r="B26" s="35"/>
      <x:c r="C26" s="35"/>
      <x:c r="D26" s="35"/>
      <x:c r="E26" s="35"/>
      <x:c r="F26" s="36" t="str">
        <x:f>'Daily Tracker'!A25</x:f>
        <x:v>2026-06-27</x:v>
      </x:c>
      <x:c r="G26" s="36" t="n">
        <x:f>'Daily Tracker'!F25</x:f>
        <x:v>0</x:v>
      </x:c>
      <x:c r="H26" s="36" t="n">
        <x:f>'Daily Tracker'!G25</x:f>
        <x:v>0</x:v>
      </x:c>
      <x:c r="I26" s="36" t="n">
        <x:f>'Daily Tracker'!H25</x:f>
        <x:v>0</x:v>
      </x:c>
      <x:c r="J26" s="36" t="n">
        <x:f>'Daily Tracker'!I25</x:f>
        <x:v>0</x:v>
      </x:c>
      <x:c r="K26" s="36" t="n">
        <x:f>'Daily Tracker'!J25</x:f>
        <x:v>0</x:v>
      </x:c>
      <x:c r="L26" s="36" t="str">
        <x:f>'Daily Tracker'!K25</x:f>
      </x:c>
    </x:row>
    <x:row r="27">
      <x:c r="A27" s="35"/>
      <x:c r="B27" s="35"/>
      <x:c r="C27" s="35"/>
      <x:c r="D27" s="35"/>
      <x:c r="E27" s="35"/>
      <x:c r="F27" s="36" t="str">
        <x:f>'Daily Tracker'!A26</x:f>
        <x:v>2026-06-28</x:v>
      </x:c>
      <x:c r="G27" s="36" t="n">
        <x:f>'Daily Tracker'!F26</x:f>
        <x:v>0</x:v>
      </x:c>
      <x:c r="H27" s="36" t="n">
        <x:f>'Daily Tracker'!G26</x:f>
        <x:v>0</x:v>
      </x:c>
      <x:c r="I27" s="36" t="n">
        <x:f>'Daily Tracker'!H26</x:f>
        <x:v>0</x:v>
      </x:c>
      <x:c r="J27" s="36" t="n">
        <x:f>'Daily Tracker'!I26</x:f>
        <x:v>0</x:v>
      </x:c>
      <x:c r="K27" s="36" t="n">
        <x:f>'Daily Tracker'!J26</x:f>
        <x:v>0</x:v>
      </x:c>
      <x:c r="L27" s="36" t="str">
        <x:f>'Daily Tracker'!K26</x:f>
      </x:c>
    </x:row>
    <x:row r="28">
      <x:c r="A28" s="35"/>
      <x:c r="B28" s="35"/>
      <x:c r="C28" s="35"/>
      <x:c r="D28" s="35"/>
      <x:c r="E28" s="35"/>
      <x:c r="F28" s="36" t="str">
        <x:f>'Daily Tracker'!A27</x:f>
        <x:v>2026-06-29</x:v>
      </x:c>
      <x:c r="G28" s="36" t="n">
        <x:f>'Daily Tracker'!F27</x:f>
        <x:v>0</x:v>
      </x:c>
      <x:c r="H28" s="36" t="n">
        <x:f>'Daily Tracker'!G27</x:f>
        <x:v>0</x:v>
      </x:c>
      <x:c r="I28" s="36" t="n">
        <x:f>'Daily Tracker'!H27</x:f>
        <x:v>0</x:v>
      </x:c>
      <x:c r="J28" s="36" t="n">
        <x:f>'Daily Tracker'!I27</x:f>
        <x:v>0</x:v>
      </x:c>
      <x:c r="K28" s="36" t="n">
        <x:f>'Daily Tracker'!J27</x:f>
        <x:v>0</x:v>
      </x:c>
      <x:c r="L28" s="36" t="str">
        <x:f>'Daily Tracker'!K27</x:f>
      </x:c>
    </x:row>
    <x:row r="29">
      <x:c r="A29" s="35"/>
      <x:c r="B29" s="35"/>
      <x:c r="C29" s="35"/>
      <x:c r="D29" s="35"/>
      <x:c r="E29" s="35"/>
      <x:c r="F29" s="36" t="str">
        <x:f>'Daily Tracker'!A28</x:f>
        <x:v>2026-06-30</x:v>
      </x:c>
      <x:c r="G29" s="36" t="n">
        <x:f>'Daily Tracker'!F28</x:f>
        <x:v>0</x:v>
      </x:c>
      <x:c r="H29" s="36" t="n">
        <x:f>'Daily Tracker'!G28</x:f>
        <x:v>0</x:v>
      </x:c>
      <x:c r="I29" s="36" t="n">
        <x:f>'Daily Tracker'!H28</x:f>
        <x:v>0</x:v>
      </x:c>
      <x:c r="J29" s="36" t="n">
        <x:f>'Daily Tracker'!I28</x:f>
        <x:v>0</x:v>
      </x:c>
      <x:c r="K29" s="36" t="n">
        <x:f>'Daily Tracker'!J28</x:f>
        <x:v>0</x:v>
      </x:c>
      <x:c r="L29" s="36" t="str">
        <x:f>'Daily Tracker'!K28</x:f>
      </x:c>
    </x:row>
    <x:row r="30">
      <x:c r="A30" s="35"/>
      <x:c r="B30" s="35"/>
      <x:c r="C30" s="35"/>
      <x:c r="D30" s="35"/>
      <x:c r="E30" s="35"/>
      <x:c r="F30" s="36" t="str">
        <x:f>'Daily Tracker'!A29</x:f>
        <x:v>2026-07-01</x:v>
      </x:c>
      <x:c r="G30" s="36" t="n">
        <x:f>'Daily Tracker'!F29</x:f>
        <x:v>0</x:v>
      </x:c>
      <x:c r="H30" s="36" t="n">
        <x:f>'Daily Tracker'!G29</x:f>
        <x:v>0</x:v>
      </x:c>
      <x:c r="I30" s="36" t="n">
        <x:f>'Daily Tracker'!H29</x:f>
        <x:v>0</x:v>
      </x:c>
      <x:c r="J30" s="36" t="n">
        <x:f>'Daily Tracker'!I29</x:f>
        <x:v>0</x:v>
      </x:c>
      <x:c r="K30" s="36" t="n">
        <x:f>'Daily Tracker'!J29</x:f>
        <x:v>0</x:v>
      </x:c>
      <x:c r="L30" s="36" t="str">
        <x:f>'Daily Tracker'!K29</x:f>
      </x:c>
    </x:row>
    <x:row r="31">
      <x:c r="A31" s="35"/>
      <x:c r="B31" s="35"/>
      <x:c r="C31" s="35"/>
      <x:c r="D31" s="35"/>
      <x:c r="E31" s="35"/>
      <x:c r="F31" s="36" t="str">
        <x:f>'Daily Tracker'!A30</x:f>
        <x:v>2026-07-02</x:v>
      </x:c>
      <x:c r="G31" s="36" t="n">
        <x:f>'Daily Tracker'!F30</x:f>
        <x:v>0</x:v>
      </x:c>
      <x:c r="H31" s="36" t="n">
        <x:f>'Daily Tracker'!G30</x:f>
        <x:v>0</x:v>
      </x:c>
      <x:c r="I31" s="36" t="n">
        <x:f>'Daily Tracker'!H30</x:f>
        <x:v>0</x:v>
      </x:c>
      <x:c r="J31" s="36" t="n">
        <x:f>'Daily Tracker'!I30</x:f>
        <x:v>0</x:v>
      </x:c>
      <x:c r="K31" s="36" t="n">
        <x:f>'Daily Tracker'!J30</x:f>
        <x:v>0</x:v>
      </x:c>
      <x:c r="L31" s="36" t="str">
        <x:f>'Daily Tracker'!K30</x:f>
      </x:c>
    </x:row>
    <x:row r="32">
      <x:c r="A32" s="35"/>
      <x:c r="B32" s="35"/>
      <x:c r="C32" s="35"/>
      <x:c r="D32" s="35"/>
      <x:c r="E32" s="35"/>
      <x:c r="F32" s="36" t="str">
        <x:f>'Daily Tracker'!A31</x:f>
        <x:v>2026-07-03</x:v>
      </x:c>
      <x:c r="G32" s="36" t="n">
        <x:f>'Daily Tracker'!F31</x:f>
        <x:v>0</x:v>
      </x:c>
      <x:c r="H32" s="36" t="n">
        <x:f>'Daily Tracker'!G31</x:f>
        <x:v>0</x:v>
      </x:c>
      <x:c r="I32" s="36" t="n">
        <x:f>'Daily Tracker'!H31</x:f>
        <x:v>0</x:v>
      </x:c>
      <x:c r="J32" s="36" t="n">
        <x:f>'Daily Tracker'!I31</x:f>
        <x:v>0</x:v>
      </x:c>
      <x:c r="K32" s="36" t="n">
        <x:f>'Daily Tracker'!J31</x:f>
        <x:v>0</x:v>
      </x:c>
      <x:c r="L32" s="36" t="str">
        <x:f>'Daily Tracker'!K31</x:f>
      </x:c>
    </x:row>
    <x:row r="33">
      <x:c r="A33" s="35"/>
      <x:c r="B33" s="35"/>
      <x:c r="C33" s="35"/>
      <x:c r="D33" s="35"/>
      <x:c r="E33" s="35"/>
      <x:c r="F33" s="36" t="str">
        <x:f>'Daily Tracker'!A32</x:f>
        <x:v>2026-07-04</x:v>
      </x:c>
      <x:c r="G33" s="36" t="n">
        <x:f>'Daily Tracker'!F32</x:f>
        <x:v>0</x:v>
      </x:c>
      <x:c r="H33" s="36" t="n">
        <x:f>'Daily Tracker'!G32</x:f>
        <x:v>0</x:v>
      </x:c>
      <x:c r="I33" s="36" t="n">
        <x:f>'Daily Tracker'!H32</x:f>
        <x:v>0</x:v>
      </x:c>
      <x:c r="J33" s="36" t="n">
        <x:f>'Daily Tracker'!I32</x:f>
        <x:v>0</x:v>
      </x:c>
      <x:c r="K33" s="36" t="n">
        <x:f>'Daily Tracker'!J32</x:f>
        <x:v>0</x:v>
      </x:c>
      <x:c r="L33" s="36" t="str">
        <x:f>'Daily Tracker'!K32</x:f>
      </x:c>
    </x:row>
    <x:row r="34">
      <x:c r="A34" s="35"/>
      <x:c r="B34" s="35"/>
      <x:c r="C34" s="35"/>
      <x:c r="D34" s="35"/>
      <x:c r="E34" s="35"/>
      <x:c r="F34" s="36" t="str">
        <x:f>'Daily Tracker'!A33</x:f>
        <x:v>2026-07-05</x:v>
      </x:c>
      <x:c r="G34" s="36" t="n">
        <x:f>'Daily Tracker'!F33</x:f>
        <x:v>0</x:v>
      </x:c>
      <x:c r="H34" s="36" t="n">
        <x:f>'Daily Tracker'!G33</x:f>
        <x:v>0</x:v>
      </x:c>
      <x:c r="I34" s="36" t="n">
        <x:f>'Daily Tracker'!H33</x:f>
        <x:v>0</x:v>
      </x:c>
      <x:c r="J34" s="36" t="n">
        <x:f>'Daily Tracker'!I33</x:f>
        <x:v>0</x:v>
      </x:c>
      <x:c r="K34" s="36" t="n">
        <x:f>'Daily Tracker'!J33</x:f>
        <x:v>0</x:v>
      </x:c>
      <x:c r="L34" s="36" t="str">
        <x:f>'Daily Tracker'!K33</x:f>
      </x:c>
    </x:row>
    <x:row r="35">
      <x:c r="A35" s="35"/>
      <x:c r="B35" s="35"/>
      <x:c r="C35" s="35"/>
      <x:c r="D35" s="35"/>
      <x:c r="E35" s="35"/>
      <x:c r="F35" s="36" t="str">
        <x:f>'Daily Tracker'!A34</x:f>
        <x:v>2026-07-06</x:v>
      </x:c>
      <x:c r="G35" s="36" t="n">
        <x:f>'Daily Tracker'!F34</x:f>
        <x:v>0</x:v>
      </x:c>
      <x:c r="H35" s="36" t="n">
        <x:f>'Daily Tracker'!G34</x:f>
        <x:v>0</x:v>
      </x:c>
      <x:c r="I35" s="36" t="n">
        <x:f>'Daily Tracker'!H34</x:f>
        <x:v>0</x:v>
      </x:c>
      <x:c r="J35" s="36" t="n">
        <x:f>'Daily Tracker'!I34</x:f>
        <x:v>0</x:v>
      </x:c>
      <x:c r="K35" s="36" t="n">
        <x:f>'Daily Tracker'!J34</x:f>
        <x:v>0</x:v>
      </x:c>
      <x:c r="L35" s="36" t="str">
        <x:f>'Daily Tracker'!K34</x:f>
      </x:c>
    </x:row>
    <x:row r="36">
      <x:c r="A36" s="35"/>
      <x:c r="B36" s="35"/>
      <x:c r="C36" s="35"/>
      <x:c r="D36" s="35"/>
      <x:c r="E36" s="35"/>
      <x:c r="F36" s="36" t="str">
        <x:f>'Daily Tracker'!A35</x:f>
        <x:v>2026-07-07</x:v>
      </x:c>
      <x:c r="G36" s="36" t="n">
        <x:f>'Daily Tracker'!F35</x:f>
        <x:v>0</x:v>
      </x:c>
      <x:c r="H36" s="36" t="n">
        <x:f>'Daily Tracker'!G35</x:f>
        <x:v>0</x:v>
      </x:c>
      <x:c r="I36" s="36" t="n">
        <x:f>'Daily Tracker'!H35</x:f>
        <x:v>0</x:v>
      </x:c>
      <x:c r="J36" s="36" t="n">
        <x:f>'Daily Tracker'!I35</x:f>
        <x:v>0</x:v>
      </x:c>
      <x:c r="K36" s="36" t="n">
        <x:f>'Daily Tracker'!J35</x:f>
        <x:v>0</x:v>
      </x:c>
      <x:c r="L36" s="36" t="n">
        <x:f>'Daily Tracker'!K35</x:f>
        <x:v>0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45acd185bebe464b"/>
</x:worksheet>
</file>